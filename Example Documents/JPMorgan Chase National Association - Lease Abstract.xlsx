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M:\Apps\dominator-of-leases-5000\Example Documents\"/>
    </mc:Choice>
  </mc:AlternateContent>
  <xr:revisionPtr revIDLastSave="0" documentId="13_ncr:1_{1B4E8337-C749-49BD-8730-5554439ECF11}" xr6:coauthVersionLast="47" xr6:coauthVersionMax="47" xr10:uidLastSave="{00000000-0000-0000-0000-000000000000}"/>
  <bookViews>
    <workbookView xWindow="-120" yWindow="-120" windowWidth="38640" windowHeight="21120" xr2:uid="{3DDD8A35-4DAA-4E9D-99D0-47FFEB6ED13D}"/>
  </bookViews>
  <sheets>
    <sheet name="JPMorgan Chase" sheetId="3" r:id="rId1"/>
  </sheets>
  <definedNames>
    <definedName name="_xlnm.Print_Area" localSheetId="0">'JPMorgan Chase'!$A$1:$H$31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3" l="1"/>
  <c r="F10" i="3"/>
  <c r="F9" i="3"/>
  <c r="F8" i="3"/>
  <c r="F7" i="3"/>
  <c r="F6" i="3"/>
</calcChain>
</file>

<file path=xl/sharedStrings.xml><?xml version="1.0" encoding="utf-8"?>
<sst xmlns="http://schemas.openxmlformats.org/spreadsheetml/2006/main" count="86" uniqueCount="82">
  <si>
    <t>Lease Abstract</t>
  </si>
  <si>
    <t>Source</t>
  </si>
  <si>
    <t>Supplemental Notes</t>
  </si>
  <si>
    <t>TENANT NAME</t>
  </si>
  <si>
    <t>BASE RENT SCHEDULE</t>
  </si>
  <si>
    <t>BUILDING</t>
  </si>
  <si>
    <t>Year</t>
  </si>
  <si>
    <t>$ PSF</t>
  </si>
  <si>
    <t>Annual Rent</t>
  </si>
  <si>
    <t>SUITE</t>
  </si>
  <si>
    <t>RENTABLE AREA</t>
  </si>
  <si>
    <t>TENANT SINCE</t>
  </si>
  <si>
    <t>LEASE TERM (EXTENSION)</t>
  </si>
  <si>
    <t>COMMENCEMENT (EXTENSION)</t>
  </si>
  <si>
    <t>LEASE EXPIRATION (EXTENSION)</t>
  </si>
  <si>
    <t>RENT ABATEMENT</t>
  </si>
  <si>
    <t>OPERATING EXPENSES</t>
  </si>
  <si>
    <t>OPERATING EXPENSES - INCLUDED</t>
  </si>
  <si>
    <t>OPERATING EXPENSE CAP</t>
  </si>
  <si>
    <t>MANAGEMENT FEE CAP</t>
  </si>
  <si>
    <t>PRORATA SHARE</t>
  </si>
  <si>
    <t>GROSS UP CALCULATION</t>
  </si>
  <si>
    <t>TENANT CAM AUDIT RIGHTS</t>
  </si>
  <si>
    <t>REAL ESTATE TAXES</t>
  </si>
  <si>
    <t>REPAIRS &amp; MAINTENANCE</t>
  </si>
  <si>
    <t>CAPITAL EXPENSES</t>
  </si>
  <si>
    <t>RENEWAL OPTION</t>
  </si>
  <si>
    <t>TERMINATION OPTION</t>
  </si>
  <si>
    <t>TENANT IMPROVEMENT ALLOWANCE (EXTENSION)</t>
  </si>
  <si>
    <t>LANDLORD'S RELOCATION RIGHTS</t>
  </si>
  <si>
    <t>N/A</t>
  </si>
  <si>
    <t>RIGHT TO PURCHASE</t>
  </si>
  <si>
    <t>PARKING</t>
  </si>
  <si>
    <t>SECURITY DEPOSIT</t>
  </si>
  <si>
    <t>GUARANTOR</t>
  </si>
  <si>
    <t>JPMorgan Chase National Association</t>
  </si>
  <si>
    <t>1211 SW Fifth Avenue, Portland, Oregon 97204.</t>
  </si>
  <si>
    <t>Lease, Sec. 1.01(f); Pg. 2</t>
  </si>
  <si>
    <t>Lease, Sec. 1.01(g); Pg. 2</t>
  </si>
  <si>
    <t>Lease, Sec. 1.01(h); Pg. 2</t>
  </si>
  <si>
    <t>91 Months</t>
  </si>
  <si>
    <t>04/01/2025 - 03/31/2026</t>
  </si>
  <si>
    <t>04/01/2026 - 03/31/2027</t>
  </si>
  <si>
    <t>04/01/2027 - 03/31/2028</t>
  </si>
  <si>
    <t>04/01/2028 - 03/31/2029</t>
  </si>
  <si>
    <t>04/01/2029 - 03/31/2030</t>
  </si>
  <si>
    <t>04/01/2030 - 10/31/2030</t>
  </si>
  <si>
    <t>Original Rent Schedule (Remaining) - 6,834 SF</t>
  </si>
  <si>
    <t>Lease. Sec. 1.1(p); Pg. 3</t>
  </si>
  <si>
    <t>Lease, Sec. 6.01(c )(ii); Pg. 9-10</t>
  </si>
  <si>
    <t>Lease, Sec. 6.01(c )(ii); Pg. 10</t>
  </si>
  <si>
    <t>Lease, Sec. 6.02(d); Pg. 11</t>
  </si>
  <si>
    <t>Lease, Sec. 6.03; Pg. 11-12</t>
  </si>
  <si>
    <t>Lease, Sec. 7.01; Pg. 12-13</t>
  </si>
  <si>
    <t>LL will as a cost of operation maintain, repair and restore the Common Areas of the Project and public restrooms, the exterior windows in the building, the mechanical, plumbing and electrical equipment serving the building, and all structural portions of the building in good, first class, safe and proper repair and condition and in compliance with all applicable laws.</t>
  </si>
  <si>
    <t>Lease, Sec. 13.01; Pg. 22</t>
  </si>
  <si>
    <t>TT will maintain the Premises (including TT’s equipment, personal property, and trade fixtures located in the Premises) in the same condition existing at the time they were delivered to TT, reasonable wear and tear excluded. TT shall also be responsible for the maintenance of any special equipment, such as supplemental air conditioning units, installed by or at TT’s request.</t>
  </si>
  <si>
    <t>Lease, Sec. 14.01; Pg. 25</t>
  </si>
  <si>
    <t>Lease, Sec. 31.01; Pg. 50</t>
  </si>
  <si>
    <t>Lease, Sec. 32; Pg. 52</t>
  </si>
  <si>
    <t>Lease, Sec. 33; Pg. 53-54</t>
  </si>
  <si>
    <t>Lease, Sec. 1.01(q); Pg. 3 &amp; Sec. 27; Pg. 39-40</t>
  </si>
  <si>
    <t>TT has no rights or options to purchase the Property.</t>
  </si>
  <si>
    <t>NNN; TT shall pay TT's Share of Applicable Operating Expenses related to the office portion of the Project. Applicable Operating Expenses with respect to the office portion of the Project shall mean a percentage equal to the ratio which the rentable area of the office portion of the Building bears to the rentable area of the Building in total, which is currently calculated to be 93.70% of the Operating Expenses</t>
  </si>
  <si>
    <t>Lease, Sec. 6.01(c )(i); Pg. 9 &amp; Sec. 6.01(iv); Pg. 10</t>
  </si>
  <si>
    <t xml:space="preserve">Operating Expenses shall include all reasonable costs paid, payable, or incurred by LL for the management, operation, and maintenance of the Project, computed in accordance with generally accepted accounting principles (“GAAP”), including wages, salaries, benefits and compensation of employees; consulting, accounting, legal, janitorial, maintenance, security, window washing and other services; management fees and costs; reasonable reserves for operating expenses; that part of office rent or rental value of space in the Project used or furnished by LL to enhance, manage, operate, and maintain the Project; reasonable allocation of costs to provide and operate free or discounted visitor parking for the Project; power, water, waste disposal, and other utilities; consumable materials and supplies, tools, and equipment; maintenance and repairs; insurance obtained with respect to the Project; depreciation or rental on personal property and equipment used in the management, operation, or maintenance of the Project which is or should be capitalized on the books of LL; any other costs, charges, and expenses that under generally accepted accounting principles would be regarded as management, maintenance, and operating expenses.
</t>
  </si>
  <si>
    <t xml:space="preserve">In excess of 3% of total revenues of the Project. </t>
  </si>
  <si>
    <t>Lease, Sec. 6.01(v); Pg. 11</t>
  </si>
  <si>
    <t>TT shall pay share of Taxes. Taxes shall be all real and personal property taxes, school taxes, sewer rates and charges, transit taxes or other Governmental assessments or charges, general, specific, ordinary or extraordinary, foreseen or unforeseen, assessed, levied or imposed upon the Project. If at any time during the Term the methods or standards of taxation prevailing at the date hereof shall be altered so that in lieu of, or as an addition to, or as a substitute for the whole or any part of the Taxes now levied, assessed or imposed, there shall be imposed (a) a tax, assessment, levy, imposition or charge based on the rents received or (b) a license fee measured by the Rent, other tax, levy, imposition, charge or license fee; then all such taxes, assessments, levies, impositions, charges or license fees or the part thereof so measured or based, shall be deemed to be Taxes; and (iii) Applicable Taxes shall mean: (a) with respect to the office portion of the Project, a percentage equal to the ratio which the rentable area of the office portion of the Building bears to the rentable area of the Building in total, which is currently calculated to be 93.70% of the Taxes with respect to the Project.</t>
  </si>
  <si>
    <t>TT shall have the option to extend for two (2) additional terms of five (5) years each to commence on the day following the Expiration Date. To exercise each option TT shall give notice to LL not later than 12 months prior to the Expiration Date of the then current term, time being of the essence. The Monthly Rent shall be the Fair Market Rent.</t>
  </si>
  <si>
    <t>1.331%. In no event shall TT’s Share exceed 1.331% (=6,834 SF/513,347 SF)</t>
  </si>
  <si>
    <t>Within 120 days after the end of each calendar year or as soon thereafter as practicable, LL will deliver to TT a statement setting forth the actual amount of TT’s Opex Contribution or the prior calendar year. Such statement will be final and binding upon LL and TT, subject to TT’s right to audit and object to it in writing to LL within 120 days after delivery to TT. 
TT may review LL's records of the Operating Expenses, at TT's sole cost and expense, at the place LL normally maintains such records during LL's normal business hours upon reasonable advance Notice. If the audit reveals an overpayment by TT, LL shall refund such overpayment to TT within 30 days of receipt of the audit report. If the audit reveals an underpayment by TT, TT shall pay the amount of such underpayment to LL within 30 days of receipt of the audit report. TT shall pay all costs involved in such determination, except if it is determined that LL has overcharged TT for TT’s Share of Applicable Operating Expenses for the calendar year at issue by more than 5.00%, in which case LL shall pay such costs.</t>
  </si>
  <si>
    <t>TT shall have a one-time right to terminate the Lease effective on the last day of the 60th full month of the Term. TT shall exercise such right by delivery of a written notice to LL given not less than twelve (12) months prior to the Early Termination Date, time being of the essence. TT shall pay to LL a Termination Fee of an amount equal to the sum of: (a) the unamortized portion of (i) the LL’s Contribution (and, if applicable, any allowance given in connection with the exercise of the Right of First Refusal and (ii) the commissions and fees paid by LL to the Brokers and all legal fees incurred by LL in negotiating the Lease (and, if applicable, all commissions, fees, and legal fees paid by LL in connection with the exercise of the Right of First Refusal), in each case, such amortization to be made evenly over the Term at an annual interest rate of 8% and calculated as of the Early Termination Date; and (b) five (5) months of the then current Monthly Rent and Additional Rent that would otherwise have been payable with respect to the Premises but for the early termination of the Lease. TT shall pay the Termination Fee to LL within 30 days after the date of the Early Termination Notice. In addition to the payment of the Termination Fee, TT shall continue to be obligated to pay all Monthly Rent and Additional Rent arising under the Lease through and including the Early Termination Date.</t>
  </si>
  <si>
    <t>Declaration of Commencement Date; Sec. 2; Pg. 1</t>
  </si>
  <si>
    <t>TT’s Opex Contribution, except for Uncontrollable Costs shall not increase by more than 6.00% on a cumulative and compounding basis, excluding union wages, the costs of all casualty, liability and other insurance applicable to the Project, utility expenses and taxes all of the foregoing being collectively referred to as the Uncontrollable Costs shall not be subject to any limitation or cap, and accordingly, the total dollar increase in TT’s Opex Contribution payable for any and each calendar year during the Term shall be calculated without any limitation or cap on Uncontrollable Costs.</t>
  </si>
  <si>
    <t>Right of First Refusal(ROFR): TT shall have an ongoing right of first refusal to lease the Refusal Space. LL’s offer of the Refusal Space shall be made by LL to TT in a written notice (the “Refusal Notice”), which Refusal Notice shall specify the Proposed Lease Terms. TT may accept the offer set forth in the Refusal Notice by delivering to LL an unconditional notice of acceptance of such offer, in writing, no later than ten (10) business days after delivery by LL of the Refusal Notice to TT. Strict compliance with the terms of the Refusal Notice shall be required, and in the event LL desires to change the lease terms from those set forth in the Refusal Notice in any material respect then LL shall give written notice to TT of such amended terms and offer the applicable Refusal Space to TT pursuant to such amended terms. TT shall then have five (5) business days after receipt of LL’s notice of such amended terms to exercise TT’s Right of First Refusal hereunder. If TT does not accept an offer, then TT shall be deemed to have waived its Right of First Refusal with respect to such Refusal Space and LL shall be under no further obligation to TT with respect to such space.
If TT properly exercises its Right of First Refusal, LL shall prepare an amendment adding the Refusal Space to the Premises including the Annual Rent, the rentable square feet of the Premises, TT’s Share, the Estimated Refusal Space Commencement Date, and the term of the lease of the Refusal space and otherwise on the same terms as contained in the Lease.</t>
  </si>
  <si>
    <t>TT shall have non-exclusive right to rent up to Five (5) unreserved spaces of monthly parking spaces. The parking spaces will be unassigned, non-reserved, and non-designated. TT shall be required to pay for parking spaces rented at prevailing market rates as determined and adjusted from time-to-time by LL, which rate is $245.00 per month per unreserved parking space as of the Lease Date.</t>
  </si>
  <si>
    <t>Monthly Rent</t>
  </si>
  <si>
    <t>7 months</t>
  </si>
  <si>
    <t>Tenant's Exclusive: Landlord hereby agrees not to enter into, on or after the Lease Date, a direct lease with a tenant who will occupy space on the twenty-eighth (28th) floor of the Building for a permitted use that would constitute a Competing Business (as defined below), nor shall Landlord approve a request to consent to an assignment or sublease with a tenant who will occupy space on the twenty-eighth (28th) floor of the Building for a permitted use that would constitute a Competing Business. A “Competing Business” is hereby defined as a person or business whose principal business includes banking, private banking, investment brokerage, investment advisory, financial planning, or wealth management. The foregoing definition of “Competing Business” shall in no way apply to any tenant of the Building who leases its space pursuant to lease that is fully executed lease prior to the Lease Date.</t>
  </si>
  <si>
    <t>OTHER OPTIONS (1)</t>
  </si>
  <si>
    <t>OTHER OPTIONS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</si>
</sst>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7" formatCode="&quot;$&quot;#,##0.00_);\(&quot;$&quot;#,##0.00\)"/>
    <numFmt numFmtId="44" formatCode="_(&quot;$&quot;* #,##0.00_);_(&quot;$&quot;* \(#,##0.00\);_(&quot;$&quot;* &quot;-&quot;??_);_(@_)"/>
    <numFmt numFmtId="164" formatCode="m/d/yy;@"/>
    <numFmt numFmtId="165" formatCode="0.000%"/>
  </numFmts>
  <fonts count="17" x14ac:knownFonts="1">
    <font>
      <sz val="11"/>
      <color theme="1"/>
      <name val="Calibri"/>
      <family val="2"/>
      <scheme val="minor"/>
    </font>
    <font>
      <b/>
      <sz val="14"/>
      <color theme="0"/>
      <name val="Arial Narrow"/>
      <family val="2"/>
    </font>
    <font>
      <sz val="11"/>
      <color theme="1"/>
      <name val="Arial Narrow"/>
      <family val="2"/>
    </font>
    <font>
      <b/>
      <sz val="11"/>
      <color theme="0"/>
      <name val="Arial Narrow"/>
      <family val="2"/>
    </font>
    <font>
      <b/>
      <sz val="11"/>
      <color theme="1"/>
      <name val="Arial Narrow"/>
      <family val="2"/>
    </font>
    <font>
      <b/>
      <u/>
      <sz val="11"/>
      <color theme="1"/>
      <name val="Arial Narrow"/>
      <family val="2"/>
    </font>
    <font>
      <b/>
      <sz val="11"/>
      <name val="Arial Narrow"/>
      <family val="2"/>
    </font>
    <font>
      <sz val="11"/>
      <name val="Arial Narrow"/>
      <family val="2"/>
    </font>
    <font>
      <sz val="11"/>
      <color rgb="FF0000FF"/>
      <name val="Arial Narrow"/>
      <family val="2"/>
    </font>
    <font>
      <b/>
      <u/>
      <sz val="11"/>
      <name val="Arial Narrow"/>
      <family val="2"/>
    </font>
    <font>
      <sz val="11"/>
      <name val="Calibri"/>
      <family val="2"/>
      <scheme val="minor"/>
    </font>
    <font>
      <b/>
      <sz val="11"/>
      <name val="Calibri"/>
      <family val="2"/>
      <scheme val="minor"/>
    </font>
    <font>
      <b/>
      <sz val="11"/>
      <color rgb="FF0000FF"/>
      <name val="Arial Narrow"/>
      <family val="2"/>
    </font>
    <font>
      <sz val="11"/>
      <color rgb="FF0000FF"/>
      <name val="Calibri"/>
      <family val="2"/>
      <scheme val="minor"/>
    </font>
    <font>
      <i/>
      <sz val="11"/>
      <color rgb="FF0000FF"/>
      <name val="Calibri"/>
      <family val="2"/>
      <scheme val="minor"/>
    </font>
    <font>
      <sz val="11"/>
      <color rgb="FFFF33CC"/>
      <name val="Arial Narrow"/>
      <family val="2"/>
    </font>
    <font>
      <sz val="11"/>
      <color theme="1"/>
      <name val="Calibri"/>
      <family val="2"/>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15">
    <border>
      <left/>
      <right/>
      <top/>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24994659260841701"/>
      </top>
      <bottom style="thin">
        <color theme="0" tint="-0.24994659260841701"/>
      </bottom>
      <diagonal/>
    </border>
    <border>
      <left/>
      <right style="thin">
        <color theme="0" tint="-0.14999847407452621"/>
      </right>
      <top style="thin">
        <color theme="0" tint="-0.24994659260841701"/>
      </top>
      <bottom style="thin">
        <color theme="0" tint="-0.24994659260841701"/>
      </bottom>
      <diagonal/>
    </border>
    <border>
      <left style="thin">
        <color theme="0" tint="-0.14999847407452621"/>
      </left>
      <right/>
      <top style="thin">
        <color theme="0" tint="-0.14996795556505021"/>
      </top>
      <bottom style="thin">
        <color theme="0" tint="-0.14999847407452621"/>
      </bottom>
      <diagonal/>
    </border>
    <border>
      <left style="thin">
        <color theme="0" tint="-0.14999847407452621"/>
      </left>
      <right/>
      <top style="thin">
        <color theme="0" tint="-0.14996795556505021"/>
      </top>
      <bottom style="thin">
        <color theme="0" tint="-0.14996795556505021"/>
      </bottom>
      <diagonal/>
    </border>
    <border>
      <left/>
      <right/>
      <top style="thin">
        <color theme="0" tint="-0.24994659260841701"/>
      </top>
      <bottom/>
      <diagonal/>
    </border>
    <border>
      <left/>
      <right style="thin">
        <color theme="0" tint="-0.14999847407452621"/>
      </right>
      <top style="thin">
        <color theme="0" tint="-0.24994659260841701"/>
      </top>
      <bottom/>
      <diagonal/>
    </border>
  </borders>
  <cellStyleXfs count="1">
    <xf numFmtId="0" fontId="0" fillId="0" borderId="0"/>
  </cellStyleXfs>
  <cellXfs count="67">
    <xf numFmtId="0" fontId="0" fillId="0" borderId="0" xfId="0"/>
    <xf numFmtId="0" fontId="0" fillId="2" borderId="0" xfId="0" applyFill="1"/>
    <xf numFmtId="0" fontId="1" fillId="3" borderId="0" xfId="0" applyFont="1" applyFill="1"/>
    <xf numFmtId="0" fontId="2" fillId="3" borderId="0" xfId="0" applyFont="1" applyFill="1"/>
    <xf numFmtId="0" fontId="2" fillId="0" borderId="0" xfId="0" applyFont="1"/>
    <xf numFmtId="0" fontId="3" fillId="3" borderId="1" xfId="0" applyFont="1" applyFill="1" applyBorder="1"/>
    <xf numFmtId="0" fontId="2" fillId="0" borderId="0" xfId="0" applyFont="1" applyAlignment="1">
      <alignment horizontal="left" vertical="top" wrapText="1"/>
    </xf>
    <xf numFmtId="0" fontId="5" fillId="0" borderId="0" xfId="0" applyFont="1" applyAlignment="1">
      <alignment horizontal="center"/>
    </xf>
    <xf numFmtId="0" fontId="2" fillId="0" borderId="0" xfId="0" applyFont="1" applyAlignment="1">
      <alignment horizontal="left"/>
    </xf>
    <xf numFmtId="0" fontId="4" fillId="0" borderId="0" xfId="0" applyFont="1" applyAlignment="1">
      <alignment horizontal="right"/>
    </xf>
    <xf numFmtId="2" fontId="2" fillId="0" borderId="0" xfId="0" applyNumberFormat="1" applyFont="1"/>
    <xf numFmtId="44" fontId="2" fillId="0" borderId="0" xfId="0" applyNumberFormat="1" applyFont="1"/>
    <xf numFmtId="0" fontId="2" fillId="0" borderId="0" xfId="0" applyFont="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14" fontId="2" fillId="0" borderId="0" xfId="0" applyNumberFormat="1" applyFont="1" applyAlignment="1">
      <alignment horizontal="right"/>
    </xf>
    <xf numFmtId="0" fontId="2" fillId="0" borderId="0" xfId="0" applyFont="1" applyAlignment="1">
      <alignment horizontal="left" wrapText="1"/>
    </xf>
    <xf numFmtId="0" fontId="2" fillId="3" borderId="0" xfId="0" applyFont="1" applyFill="1" applyAlignment="1">
      <alignment horizontal="left"/>
    </xf>
    <xf numFmtId="0" fontId="0" fillId="2" borderId="0" xfId="0" applyFill="1" applyAlignment="1">
      <alignment horizontal="left"/>
    </xf>
    <xf numFmtId="0" fontId="3" fillId="3" borderId="8" xfId="0" applyFont="1" applyFill="1" applyBorder="1" applyAlignment="1">
      <alignment horizontal="center"/>
    </xf>
    <xf numFmtId="0" fontId="6" fillId="0" borderId="6" xfId="0" applyFont="1" applyBorder="1"/>
    <xf numFmtId="0" fontId="7" fillId="0" borderId="6" xfId="0" applyFont="1" applyBorder="1"/>
    <xf numFmtId="0" fontId="7" fillId="0" borderId="7" xfId="0" applyFont="1" applyBorder="1"/>
    <xf numFmtId="44" fontId="2" fillId="0" borderId="0" xfId="0" applyNumberFormat="1" applyFont="1" applyAlignment="1">
      <alignment horizontal="left"/>
    </xf>
    <xf numFmtId="7" fontId="3" fillId="3" borderId="8" xfId="0" applyNumberFormat="1" applyFont="1" applyFill="1" applyBorder="1" applyAlignment="1">
      <alignment horizontal="center"/>
    </xf>
    <xf numFmtId="14" fontId="9" fillId="0" borderId="0" xfId="0" applyNumberFormat="1" applyFont="1"/>
    <xf numFmtId="7" fontId="7" fillId="0" borderId="0" xfId="0" applyNumberFormat="1" applyFont="1"/>
    <xf numFmtId="5" fontId="7" fillId="0" borderId="5" xfId="0" applyNumberFormat="1" applyFont="1" applyBorder="1"/>
    <xf numFmtId="0" fontId="10" fillId="2" borderId="0" xfId="0" applyFont="1" applyFill="1"/>
    <xf numFmtId="0" fontId="13" fillId="2" borderId="0" xfId="0" applyFont="1" applyFill="1"/>
    <xf numFmtId="14" fontId="8" fillId="0" borderId="9" xfId="0" applyNumberFormat="1" applyFont="1" applyBorder="1"/>
    <xf numFmtId="7" fontId="8" fillId="0" borderId="9" xfId="0" applyNumberFormat="1" applyFont="1" applyBorder="1"/>
    <xf numFmtId="7" fontId="8" fillId="0" borderId="10" xfId="0" applyNumberFormat="1" applyFont="1" applyBorder="1"/>
    <xf numFmtId="0" fontId="14" fillId="2" borderId="0" xfId="0" applyFont="1" applyFill="1" applyAlignment="1">
      <alignment horizontal="left" vertical="top"/>
    </xf>
    <xf numFmtId="0" fontId="14" fillId="2" borderId="0" xfId="0" applyFont="1" applyFill="1" applyAlignment="1">
      <alignment vertical="top" wrapText="1"/>
    </xf>
    <xf numFmtId="14" fontId="8" fillId="0" borderId="0" xfId="0" applyNumberFormat="1" applyFont="1"/>
    <xf numFmtId="7" fontId="8" fillId="0" borderId="0" xfId="0" applyNumberFormat="1" applyFont="1"/>
    <xf numFmtId="5" fontId="8" fillId="0" borderId="0" xfId="0" applyNumberFormat="1" applyFont="1"/>
    <xf numFmtId="0" fontId="11" fillId="2" borderId="0" xfId="0" applyFont="1" applyFill="1" applyAlignment="1">
      <alignment horizontal="center" vertical="center" wrapText="1"/>
    </xf>
    <xf numFmtId="0" fontId="3" fillId="3" borderId="1" xfId="0" applyFont="1" applyFill="1" applyBorder="1" applyAlignment="1">
      <alignment horizontal="left" vertical="top"/>
    </xf>
    <xf numFmtId="0" fontId="3" fillId="3" borderId="2" xfId="0" applyFont="1" applyFill="1" applyBorder="1" applyAlignment="1">
      <alignment horizontal="left" vertical="top"/>
    </xf>
    <xf numFmtId="0" fontId="3" fillId="3" borderId="12" xfId="0" applyFont="1" applyFill="1" applyBorder="1" applyAlignment="1">
      <alignment horizontal="left" vertical="top"/>
    </xf>
    <xf numFmtId="0" fontId="3" fillId="3" borderId="4" xfId="0" applyFont="1" applyFill="1" applyBorder="1" applyAlignment="1">
      <alignment horizontal="left" vertical="top"/>
    </xf>
    <xf numFmtId="0" fontId="3" fillId="3" borderId="11" xfId="0" applyFont="1" applyFill="1" applyBorder="1" applyAlignment="1">
      <alignment horizontal="left" vertical="top" wrapText="1"/>
    </xf>
    <xf numFmtId="0" fontId="3" fillId="3" borderId="0" xfId="0" applyFont="1" applyFill="1" applyAlignment="1">
      <alignment horizontal="left" vertical="top"/>
    </xf>
    <xf numFmtId="7" fontId="8" fillId="0" borderId="13" xfId="0" applyNumberFormat="1" applyFont="1" applyBorder="1"/>
    <xf numFmtId="5" fontId="8" fillId="0" borderId="14" xfId="0" applyNumberFormat="1" applyFont="1" applyBorder="1"/>
    <xf numFmtId="14" fontId="12" fillId="0" borderId="13" xfId="0" applyNumberFormat="1" applyFont="1" applyBorder="1"/>
    <xf numFmtId="0" fontId="12" fillId="0" borderId="6" xfId="0" applyFont="1" applyBorder="1" applyAlignment="1">
      <alignment horizontal="justify" vertical="top"/>
    </xf>
    <xf numFmtId="0" fontId="8" fillId="0" borderId="8" xfId="0" applyFont="1" applyBorder="1" applyAlignment="1">
      <alignment horizontal="justify" vertical="top"/>
    </xf>
    <xf numFmtId="3" fontId="8" fillId="0" borderId="8" xfId="0" applyNumberFormat="1" applyFont="1" applyBorder="1" applyAlignment="1">
      <alignment horizontal="justify" vertical="top"/>
    </xf>
    <xf numFmtId="0" fontId="8" fillId="0" borderId="8" xfId="0" quotePrefix="1" applyFont="1" applyBorder="1" applyAlignment="1">
      <alignment horizontal="justify" vertical="top"/>
    </xf>
    <xf numFmtId="164" fontId="8" fillId="0" borderId="8" xfId="0" applyNumberFormat="1" applyFont="1" applyBorder="1" applyAlignment="1">
      <alignment horizontal="justify" vertical="top"/>
    </xf>
    <xf numFmtId="14" fontId="8" fillId="0" borderId="8" xfId="0" applyNumberFormat="1" applyFont="1" applyBorder="1" applyAlignment="1">
      <alignment horizontal="justify" vertical="top"/>
    </xf>
    <xf numFmtId="0" fontId="8" fillId="0" borderId="3" xfId="0" applyFont="1" applyBorder="1" applyAlignment="1">
      <alignment horizontal="justify" vertical="top" wrapText="1"/>
    </xf>
    <xf numFmtId="0" fontId="8" fillId="0" borderId="3" xfId="0" applyFont="1" applyBorder="1" applyAlignment="1">
      <alignment horizontal="justify" vertical="top"/>
    </xf>
    <xf numFmtId="165" fontId="8" fillId="0" borderId="3" xfId="0" applyNumberFormat="1" applyFont="1" applyBorder="1" applyAlignment="1">
      <alignment horizontal="justify" vertical="top"/>
    </xf>
    <xf numFmtId="10" fontId="8" fillId="0" borderId="3" xfId="0" applyNumberFormat="1" applyFont="1" applyBorder="1" applyAlignment="1">
      <alignment horizontal="justify" vertical="top"/>
    </xf>
    <xf numFmtId="10" fontId="8" fillId="0" borderId="3" xfId="0" applyNumberFormat="1" applyFont="1" applyBorder="1" applyAlignment="1">
      <alignment horizontal="justify" vertical="top" wrapText="1"/>
    </xf>
    <xf numFmtId="0" fontId="8" fillId="0" borderId="8" xfId="0" applyFont="1" applyBorder="1" applyAlignment="1">
      <alignment horizontal="justify" vertical="top" wrapText="1"/>
    </xf>
    <xf numFmtId="0" fontId="8" fillId="0" borderId="0" xfId="0" applyFont="1" applyAlignment="1">
      <alignment horizontal="justify" vertical="top" wrapText="1"/>
    </xf>
    <xf numFmtId="0" fontId="13" fillId="0" borderId="0" xfId="0" applyFont="1"/>
    <xf numFmtId="7" fontId="15" fillId="0" borderId="9" xfId="0" applyNumberFormat="1" applyFont="1" applyBorder="1"/>
    <xf numFmtId="0" fontId="15" fillId="0" borderId="8" xfId="0" applyFont="1" applyBorder="1" applyAlignment="1">
      <alignment horizontal="justify" vertical="top"/>
    </xf>
    <xf numFmtId="0" fontId="15" fillId="0" borderId="3" xfId="0" applyFont="1" applyBorder="1" applyAlignment="1">
      <alignment horizontal="justify" vertical="top"/>
    </xf>
    <xf numFmtId="0" fontId="16" fillId="0" borderId="0" xfId="0" applyFont="1" applyAlignment="1">
      <alignment horizontal="center"/>
    </xf>
    <xf numFmtId="0" fontId="1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FF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AC88-2744-40E5-9504-C95A17371F2D}">
  <dimension ref="A1:K32"/>
  <sheetViews>
    <sheetView showGridLines="0" tabSelected="1" view="pageBreakPreview" zoomScaleNormal="100" zoomScaleSheetLayoutView="100" workbookViewId="0">
      <selection activeCell="T12" sqref="T12"/>
    </sheetView>
  </sheetViews>
  <sheetFormatPr defaultColWidth="3.42578125" defaultRowHeight="15" x14ac:dyDescent="0.25"/>
  <cols>
    <col min="1" max="1" width="3.7109375" style="1" customWidth="1"/>
    <col min="2" max="2" width="44.5703125" style="1" customWidth="1"/>
    <col min="3" max="3" width="80.5703125" style="18" customWidth="1"/>
    <col min="4" max="4" width="10.7109375" style="1" customWidth="1"/>
    <col min="5" max="5" width="20.5703125" style="1" customWidth="1"/>
    <col min="6" max="6" width="10.5703125" style="1" customWidth="1"/>
    <col min="7" max="7" width="16.7109375" style="1" customWidth="1"/>
    <col min="8" max="8" width="15.5703125" style="1" customWidth="1"/>
    <col min="9" max="9" width="3.42578125" style="1"/>
    <col min="10" max="10" width="26.140625" style="1" customWidth="1"/>
    <col min="11" max="11" width="35.85546875" style="1" customWidth="1"/>
    <col min="12" max="16384" width="3.42578125" style="1"/>
  </cols>
  <sheetData>
    <row r="1" spans="1:11" ht="18.75" x14ac:dyDescent="0.3">
      <c r="A1" s="2" t="s">
        <v>0</v>
      </c>
      <c r="B1" s="3"/>
      <c r="C1" s="17"/>
      <c r="D1" s="3"/>
      <c r="E1" s="3"/>
      <c r="F1" s="3"/>
      <c r="G1" s="3"/>
      <c r="H1" s="3"/>
      <c r="I1" s="3"/>
      <c r="K1" s="4"/>
    </row>
    <row r="2" spans="1:11" ht="15" customHeight="1" x14ac:dyDescent="0.3">
      <c r="A2" s="4"/>
      <c r="B2" s="4"/>
      <c r="C2" s="8"/>
      <c r="D2" s="4"/>
      <c r="E2" s="4"/>
      <c r="F2" s="4"/>
      <c r="G2" s="4"/>
      <c r="H2" s="4"/>
      <c r="I2" s="4"/>
      <c r="J2" s="7" t="s">
        <v>1</v>
      </c>
      <c r="K2" s="7" t="s">
        <v>2</v>
      </c>
    </row>
    <row r="3" spans="1:11" ht="16.5" x14ac:dyDescent="0.3">
      <c r="A3" s="4"/>
      <c r="B3" s="39" t="s">
        <v>3</v>
      </c>
      <c r="C3" s="48" t="s">
        <v>35</v>
      </c>
      <c r="D3" s="9"/>
      <c r="E3" s="20" t="s">
        <v>4</v>
      </c>
      <c r="F3" s="21"/>
      <c r="G3" s="21"/>
      <c r="H3" s="22"/>
      <c r="I3" s="4"/>
      <c r="J3" s="29"/>
    </row>
    <row r="4" spans="1:11" ht="16.5" x14ac:dyDescent="0.3">
      <c r="A4" s="4"/>
      <c r="B4" s="39" t="s">
        <v>5</v>
      </c>
      <c r="C4" s="49" t="s">
        <v>36</v>
      </c>
      <c r="D4" s="12"/>
      <c r="E4" s="5" t="s">
        <v>6</v>
      </c>
      <c r="F4" s="24" t="s">
        <v>7</v>
      </c>
      <c r="G4" s="24" t="s">
        <v>77</v>
      </c>
      <c r="H4" s="19" t="s">
        <v>8</v>
      </c>
      <c r="I4" s="4"/>
      <c r="J4" s="61" t="s">
        <v>37</v>
      </c>
      <c r="K4" s="8"/>
    </row>
    <row r="5" spans="1:11" ht="16.5" x14ac:dyDescent="0.3">
      <c r="A5" s="4"/>
      <c r="B5" s="39" t="s">
        <v>9</v>
      </c>
      <c r="C5" s="49">
        <v>2850</v>
      </c>
      <c r="D5" s="12"/>
      <c r="E5" s="25" t="s">
        <v>47</v>
      </c>
      <c r="F5" s="26"/>
      <c r="G5" s="26"/>
      <c r="H5" s="27"/>
      <c r="I5" s="4"/>
      <c r="J5" s="61" t="s">
        <v>38</v>
      </c>
      <c r="K5" s="8"/>
    </row>
    <row r="6" spans="1:11" ht="16.5" x14ac:dyDescent="0.3">
      <c r="A6" s="4"/>
      <c r="B6" s="39" t="s">
        <v>10</v>
      </c>
      <c r="C6" s="50">
        <v>6834</v>
      </c>
      <c r="D6" s="12"/>
      <c r="E6" s="30" t="s">
        <v>41</v>
      </c>
      <c r="F6" s="31">
        <f t="shared" ref="F6:F11" si="0">H6/6834</f>
        <v>35.27492537313433</v>
      </c>
      <c r="G6" s="62">
        <v>20089.07</v>
      </c>
      <c r="H6" s="32">
        <v>241068.84</v>
      </c>
      <c r="I6" s="4"/>
      <c r="J6" s="61" t="s">
        <v>39</v>
      </c>
      <c r="K6" s="8"/>
    </row>
    <row r="7" spans="1:11" ht="16.5" x14ac:dyDescent="0.3">
      <c r="A7" s="4"/>
      <c r="B7" s="39" t="s">
        <v>11</v>
      </c>
      <c r="C7" s="51">
        <v>2022</v>
      </c>
      <c r="D7" s="12"/>
      <c r="E7" s="30" t="s">
        <v>42</v>
      </c>
      <c r="F7" s="31">
        <f t="shared" si="0"/>
        <v>36.333172373426983</v>
      </c>
      <c r="G7" s="62">
        <v>20691.740000000002</v>
      </c>
      <c r="H7" s="32">
        <v>248300.9</v>
      </c>
      <c r="I7" s="4"/>
      <c r="J7" s="61"/>
      <c r="K7" s="8"/>
    </row>
    <row r="8" spans="1:11" ht="16.5" x14ac:dyDescent="0.3">
      <c r="A8" s="4"/>
      <c r="B8" s="39" t="s">
        <v>12</v>
      </c>
      <c r="C8" s="52" t="s">
        <v>40</v>
      </c>
      <c r="D8" s="13"/>
      <c r="E8" s="30" t="s">
        <v>43</v>
      </c>
      <c r="F8" s="31">
        <f t="shared" si="0"/>
        <v>37.423167983611357</v>
      </c>
      <c r="G8" s="62">
        <v>21312.49</v>
      </c>
      <c r="H8" s="32">
        <v>255749.93</v>
      </c>
      <c r="I8" s="4"/>
      <c r="J8" s="61"/>
      <c r="K8" s="8"/>
    </row>
    <row r="9" spans="1:11" ht="16.5" x14ac:dyDescent="0.3">
      <c r="A9" s="4"/>
      <c r="B9" s="39" t="s">
        <v>13</v>
      </c>
      <c r="C9" s="53">
        <v>45017</v>
      </c>
      <c r="D9" s="14"/>
      <c r="E9" s="30" t="s">
        <v>44</v>
      </c>
      <c r="F9" s="31">
        <f t="shared" si="0"/>
        <v>38.545863330406789</v>
      </c>
      <c r="G9" s="62">
        <v>21951.87</v>
      </c>
      <c r="H9" s="32">
        <v>263422.43</v>
      </c>
      <c r="I9" s="4"/>
      <c r="J9" s="61" t="s">
        <v>73</v>
      </c>
      <c r="K9" s="8"/>
    </row>
    <row r="10" spans="1:11" ht="16.5" x14ac:dyDescent="0.3">
      <c r="A10" s="4"/>
      <c r="B10" s="39" t="s">
        <v>14</v>
      </c>
      <c r="C10" s="53">
        <v>47787</v>
      </c>
      <c r="D10" s="14"/>
      <c r="E10" s="30" t="s">
        <v>45</v>
      </c>
      <c r="F10" s="31">
        <f t="shared" si="0"/>
        <v>39.702238805970147</v>
      </c>
      <c r="G10" s="62">
        <v>22610.43</v>
      </c>
      <c r="H10" s="32">
        <v>271325.09999999998</v>
      </c>
      <c r="I10" s="4"/>
      <c r="J10" s="61" t="s">
        <v>73</v>
      </c>
      <c r="K10" s="8"/>
    </row>
    <row r="11" spans="1:11" ht="16.5" x14ac:dyDescent="0.3">
      <c r="A11" s="4"/>
      <c r="B11" s="39" t="s">
        <v>15</v>
      </c>
      <c r="C11" s="63" t="s">
        <v>78</v>
      </c>
      <c r="D11" s="15"/>
      <c r="E11" s="30" t="s">
        <v>46</v>
      </c>
      <c r="F11" s="31">
        <f t="shared" si="0"/>
        <v>40.893305531167691</v>
      </c>
      <c r="G11" s="62">
        <v>23288.74</v>
      </c>
      <c r="H11" s="32">
        <v>279464.84999999998</v>
      </c>
      <c r="I11" s="4"/>
      <c r="J11" s="61"/>
      <c r="K11" s="8"/>
    </row>
    <row r="12" spans="1:11" ht="82.5" x14ac:dyDescent="0.3">
      <c r="A12" s="4"/>
      <c r="B12" s="39" t="s">
        <v>16</v>
      </c>
      <c r="C12" s="49" t="s">
        <v>63</v>
      </c>
      <c r="D12" s="12"/>
      <c r="E12" s="47"/>
      <c r="F12" s="45"/>
      <c r="G12" s="45"/>
      <c r="H12" s="46"/>
      <c r="I12" s="4"/>
      <c r="J12" s="61" t="s">
        <v>64</v>
      </c>
      <c r="K12" s="23"/>
    </row>
    <row r="13" spans="1:11" ht="264" x14ac:dyDescent="0.3">
      <c r="A13" s="4"/>
      <c r="B13" s="40" t="s">
        <v>17</v>
      </c>
      <c r="C13" s="54" t="s">
        <v>65</v>
      </c>
      <c r="D13" s="12"/>
      <c r="E13" s="35"/>
      <c r="F13" s="36"/>
      <c r="G13" s="65"/>
      <c r="H13" s="37"/>
      <c r="I13" s="4"/>
      <c r="J13" s="61" t="s">
        <v>49</v>
      </c>
      <c r="K13" s="23"/>
    </row>
    <row r="14" spans="1:11" ht="99" x14ac:dyDescent="0.3">
      <c r="A14" s="4"/>
      <c r="B14" s="40" t="s">
        <v>18</v>
      </c>
      <c r="C14" s="55" t="s">
        <v>74</v>
      </c>
      <c r="D14" s="12"/>
      <c r="E14" s="35"/>
      <c r="F14" s="36"/>
      <c r="G14" s="36"/>
      <c r="H14" s="37"/>
      <c r="I14" s="4"/>
      <c r="J14" s="61" t="s">
        <v>51</v>
      </c>
      <c r="K14" s="23"/>
    </row>
    <row r="15" spans="1:11" ht="16.5" x14ac:dyDescent="0.3">
      <c r="A15" s="4"/>
      <c r="B15" s="40" t="s">
        <v>19</v>
      </c>
      <c r="C15" s="55" t="s">
        <v>66</v>
      </c>
      <c r="D15" s="12"/>
      <c r="E15" s="35"/>
      <c r="F15" s="36"/>
      <c r="G15" s="36"/>
      <c r="H15" s="37"/>
      <c r="I15" s="4"/>
      <c r="J15" s="61" t="s">
        <v>50</v>
      </c>
      <c r="K15" s="23"/>
    </row>
    <row r="16" spans="1:11" ht="16.5" x14ac:dyDescent="0.3">
      <c r="A16" s="4"/>
      <c r="B16" s="40" t="s">
        <v>20</v>
      </c>
      <c r="C16" s="56" t="s">
        <v>70</v>
      </c>
      <c r="D16" s="12"/>
      <c r="E16" s="35"/>
      <c r="F16" s="36"/>
      <c r="G16" s="36"/>
      <c r="H16" s="37"/>
      <c r="I16" s="4"/>
      <c r="J16" s="61" t="s">
        <v>48</v>
      </c>
      <c r="K16" s="8"/>
    </row>
    <row r="17" spans="1:11" ht="16.5" x14ac:dyDescent="0.3">
      <c r="A17" s="4"/>
      <c r="B17" s="40" t="s">
        <v>21</v>
      </c>
      <c r="C17" s="57">
        <v>0.95</v>
      </c>
      <c r="D17" s="12"/>
      <c r="E17" s="35"/>
      <c r="F17" s="36"/>
      <c r="G17" s="36"/>
      <c r="H17" s="37"/>
      <c r="I17" s="4"/>
      <c r="J17" s="61" t="s">
        <v>67</v>
      </c>
      <c r="K17" s="8"/>
    </row>
    <row r="18" spans="1:11" ht="214.5" x14ac:dyDescent="0.3">
      <c r="A18" s="4"/>
      <c r="B18" s="40" t="s">
        <v>22</v>
      </c>
      <c r="C18" s="58" t="s">
        <v>71</v>
      </c>
      <c r="D18" s="12"/>
      <c r="E18" s="35"/>
      <c r="F18" s="36"/>
      <c r="G18" s="36"/>
      <c r="H18" s="37"/>
      <c r="I18" s="4"/>
      <c r="J18" s="61" t="s">
        <v>52</v>
      </c>
      <c r="K18" s="8"/>
    </row>
    <row r="19" spans="1:11" ht="214.5" x14ac:dyDescent="0.3">
      <c r="A19" s="4"/>
      <c r="B19" s="40" t="s">
        <v>23</v>
      </c>
      <c r="C19" s="54" t="s">
        <v>68</v>
      </c>
      <c r="D19" s="12"/>
      <c r="E19" s="35"/>
      <c r="F19" s="36"/>
      <c r="G19" s="36"/>
      <c r="H19" s="37"/>
      <c r="I19" s="4"/>
      <c r="J19" s="61" t="s">
        <v>53</v>
      </c>
      <c r="K19" s="8"/>
    </row>
    <row r="20" spans="1:11" ht="66" x14ac:dyDescent="0.3">
      <c r="A20" s="4"/>
      <c r="B20" s="40" t="s">
        <v>24</v>
      </c>
      <c r="C20" s="54" t="s">
        <v>56</v>
      </c>
      <c r="D20" s="12"/>
      <c r="E20" s="35"/>
      <c r="F20" s="36"/>
      <c r="G20" s="36"/>
      <c r="H20" s="37"/>
      <c r="I20" s="4"/>
      <c r="J20" s="61" t="s">
        <v>57</v>
      </c>
      <c r="K20" s="8"/>
    </row>
    <row r="21" spans="1:11" ht="66" x14ac:dyDescent="0.3">
      <c r="A21" s="4"/>
      <c r="B21" s="40" t="s">
        <v>25</v>
      </c>
      <c r="C21" s="54" t="s">
        <v>54</v>
      </c>
      <c r="D21" s="12"/>
      <c r="E21" s="35"/>
      <c r="F21" s="36"/>
      <c r="G21" s="36"/>
      <c r="H21" s="37"/>
      <c r="I21" s="4"/>
      <c r="J21" s="61" t="s">
        <v>55</v>
      </c>
      <c r="K21" s="8"/>
    </row>
    <row r="22" spans="1:11" ht="66" x14ac:dyDescent="0.3">
      <c r="A22" s="4"/>
      <c r="B22" s="40" t="s">
        <v>26</v>
      </c>
      <c r="C22" s="54" t="s">
        <v>69</v>
      </c>
      <c r="D22" s="12"/>
      <c r="E22" s="35"/>
      <c r="F22" s="36"/>
      <c r="G22" s="36"/>
      <c r="H22" s="37"/>
      <c r="I22" s="4"/>
      <c r="J22" s="61" t="s">
        <v>58</v>
      </c>
      <c r="K22" s="8"/>
    </row>
    <row r="23" spans="1:11" ht="247.5" x14ac:dyDescent="0.3">
      <c r="A23" s="4"/>
      <c r="B23" s="41" t="s">
        <v>27</v>
      </c>
      <c r="C23" s="55" t="s">
        <v>72</v>
      </c>
      <c r="D23" s="12"/>
      <c r="E23" s="33"/>
      <c r="F23" s="34"/>
      <c r="G23" s="34"/>
      <c r="H23" s="34"/>
      <c r="I23" s="4"/>
      <c r="J23" s="61" t="s">
        <v>60</v>
      </c>
      <c r="K23" s="8"/>
    </row>
    <row r="24" spans="1:11" ht="165" x14ac:dyDescent="0.3">
      <c r="A24" s="4"/>
      <c r="B24" s="41" t="s">
        <v>80</v>
      </c>
      <c r="C24" s="64" t="s">
        <v>79</v>
      </c>
      <c r="D24" s="12"/>
      <c r="E24" s="33"/>
      <c r="F24" s="34"/>
      <c r="G24" s="34"/>
      <c r="H24" s="34"/>
      <c r="I24" s="4"/>
      <c r="J24" s="61"/>
      <c r="K24" s="8"/>
    </row>
    <row r="25" spans="1:11" ht="280.5" x14ac:dyDescent="0.3">
      <c r="A25" s="4"/>
      <c r="B25" s="42" t="s">
        <v>81</v>
      </c>
      <c r="C25" s="54" t="s">
        <v>75</v>
      </c>
      <c r="D25" s="12"/>
      <c r="E25" s="33"/>
      <c r="F25" s="34"/>
      <c r="G25" s="34"/>
      <c r="H25" s="34"/>
      <c r="I25" s="4"/>
      <c r="J25" s="61" t="s">
        <v>59</v>
      </c>
      <c r="K25" s="8"/>
    </row>
    <row r="26" spans="1:11" ht="33" x14ac:dyDescent="0.3">
      <c r="A26" s="4"/>
      <c r="B26" s="43" t="s">
        <v>28</v>
      </c>
      <c r="C26" s="49" t="s">
        <v>30</v>
      </c>
      <c r="D26" s="12"/>
      <c r="E26" s="66"/>
      <c r="F26" s="66"/>
      <c r="G26" s="66"/>
      <c r="H26" s="66"/>
      <c r="I26" s="4"/>
      <c r="J26" s="61"/>
      <c r="K26" s="8"/>
    </row>
    <row r="27" spans="1:11" ht="16.5" x14ac:dyDescent="0.3">
      <c r="A27" s="4"/>
      <c r="B27" s="39" t="s">
        <v>29</v>
      </c>
      <c r="C27" s="49" t="s">
        <v>30</v>
      </c>
      <c r="D27" s="16"/>
      <c r="E27" s="66"/>
      <c r="F27" s="66"/>
      <c r="G27" s="66"/>
      <c r="H27" s="66"/>
      <c r="I27" s="4"/>
      <c r="J27" s="61"/>
    </row>
    <row r="28" spans="1:11" ht="16.5" x14ac:dyDescent="0.3">
      <c r="A28" s="4"/>
      <c r="B28" s="39" t="s">
        <v>31</v>
      </c>
      <c r="C28" s="59" t="s">
        <v>62</v>
      </c>
      <c r="D28" s="12"/>
      <c r="E28" s="66"/>
      <c r="F28" s="66"/>
      <c r="G28" s="66"/>
      <c r="H28" s="66"/>
      <c r="I28" s="4"/>
      <c r="J28" s="61"/>
      <c r="K28" s="8"/>
    </row>
    <row r="29" spans="1:11" ht="82.5" x14ac:dyDescent="0.3">
      <c r="A29" s="4"/>
      <c r="B29" s="39" t="s">
        <v>32</v>
      </c>
      <c r="C29" s="60" t="s">
        <v>76</v>
      </c>
      <c r="D29" s="6"/>
      <c r="E29" s="66"/>
      <c r="F29" s="66"/>
      <c r="G29" s="66"/>
      <c r="H29" s="66"/>
      <c r="I29" s="4"/>
      <c r="J29" s="61" t="s">
        <v>61</v>
      </c>
      <c r="K29" s="6"/>
    </row>
    <row r="30" spans="1:11" ht="16.5" x14ac:dyDescent="0.3">
      <c r="A30" s="4"/>
      <c r="B30" s="44" t="s">
        <v>33</v>
      </c>
      <c r="C30" s="49" t="s">
        <v>30</v>
      </c>
      <c r="D30" s="12"/>
      <c r="E30" s="66"/>
      <c r="F30" s="66"/>
      <c r="G30" s="66"/>
      <c r="H30" s="66"/>
      <c r="I30" s="4"/>
      <c r="J30" s="61"/>
      <c r="K30" s="8"/>
    </row>
    <row r="31" spans="1:11" ht="16.5" x14ac:dyDescent="0.3">
      <c r="A31" s="4"/>
      <c r="B31" s="39" t="s">
        <v>34</v>
      </c>
      <c r="C31" s="49" t="s">
        <v>30</v>
      </c>
      <c r="D31" s="12"/>
      <c r="E31" s="38"/>
      <c r="F31" s="38"/>
      <c r="G31" s="38"/>
      <c r="H31" s="38"/>
      <c r="I31" s="4"/>
      <c r="J31" s="61"/>
      <c r="K31" s="8"/>
    </row>
    <row r="32" spans="1:11" ht="15" customHeight="1" x14ac:dyDescent="0.3">
      <c r="A32" s="4"/>
      <c r="D32" s="12"/>
      <c r="E32" s="4"/>
      <c r="F32" s="10"/>
      <c r="G32" s="10"/>
      <c r="H32" s="11"/>
      <c r="I32" s="4"/>
      <c r="J32" s="28"/>
      <c r="K32" s="8"/>
    </row>
  </sheetData>
  <mergeCells count="1">
    <mergeCell ref="E26:H30"/>
  </mergeCells>
  <pageMargins left="0.7" right="0.7" top="0.75" bottom="0.75" header="0.3" footer="0.3"/>
  <pageSetup scale="43" orientation="portrait" horizontalDpi="1200" verticalDpi="1200" r:id="rId1"/>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84fb056-0d87-41aa-b704-76b4b9e247d2" xsi:nil="true"/>
    <lcf76f155ced4ddcb4097134ff3c332f xmlns="65991880-c4a6-4c3b-a7a4-f1cca44801f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85586859CD8D488E60F7ECC54BA2FA" ma:contentTypeVersion="18" ma:contentTypeDescription="Create a new document." ma:contentTypeScope="" ma:versionID="84fcf976ee65cf4cd35e3e40b50b9b14">
  <xsd:schema xmlns:xsd="http://www.w3.org/2001/XMLSchema" xmlns:xs="http://www.w3.org/2001/XMLSchema" xmlns:p="http://schemas.microsoft.com/office/2006/metadata/properties" xmlns:ns2="65991880-c4a6-4c3b-a7a4-f1cca44801f8" xmlns:ns3="184fb056-0d87-41aa-b704-76b4b9e247d2" targetNamespace="http://schemas.microsoft.com/office/2006/metadata/properties" ma:root="true" ma:fieldsID="bddeb206a2744a879d7809baee08a939" ns2:_="" ns3:_="">
    <xsd:import namespace="65991880-c4a6-4c3b-a7a4-f1cca44801f8"/>
    <xsd:import namespace="184fb056-0d87-41aa-b704-76b4b9e247d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991880-c4a6-4c3b-a7a4-f1cca44801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4168312-7a27-44cf-8c16-06e60958901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4fb056-0d87-41aa-b704-76b4b9e247d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b4526b9-ced6-4394-8e1b-3fe4f416beab}" ma:internalName="TaxCatchAll" ma:showField="CatchAllData" ma:web="184fb056-0d87-41aa-b704-76b4b9e247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3EFDA4-8EC8-43B0-9C3A-F496FF71FA17}">
  <ds:schemaRefs>
    <ds:schemaRef ds:uri="http://schemas.microsoft.com/office/2006/metadata/properties"/>
    <ds:schemaRef ds:uri="http://schemas.microsoft.com/office/infopath/2007/PartnerControls"/>
    <ds:schemaRef ds:uri="184fb056-0d87-41aa-b704-76b4b9e247d2"/>
    <ds:schemaRef ds:uri="65991880-c4a6-4c3b-a7a4-f1cca44801f8"/>
  </ds:schemaRefs>
</ds:datastoreItem>
</file>

<file path=customXml/itemProps2.xml><?xml version="1.0" encoding="utf-8"?>
<ds:datastoreItem xmlns:ds="http://schemas.openxmlformats.org/officeDocument/2006/customXml" ds:itemID="{C35D470E-CE73-4A1F-9EA1-B9A26EBD5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991880-c4a6-4c3b-a7a4-f1cca44801f8"/>
    <ds:schemaRef ds:uri="184fb056-0d87-41aa-b704-76b4b9e247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F71351-3736-4035-BF9C-68EF951CA3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JPMorgan Chase</vt:lpstr>
      <vt:lpstr>'JPMorgan Chase'!Print_Area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Stoglin, Rider</dc:creator>
  <cp:keywords/>
  <dc:description/>
  <cp:lastModifiedBy>James Childress</cp:lastModifiedBy>
  <cp:revision/>
  <dcterms:created xsi:type="dcterms:W3CDTF">2020-02-25T00:03:45Z</dcterms:created>
  <dcterms:modified xsi:type="dcterms:W3CDTF">2025-12-14T17:47:01Z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0x0101006A85586859CD8D488E60F7ECC54BA2FA</vt:lpwstr>
  </property>
  <property fmtid="{D5CDD505-2E9C-101B-9397-08002B2CF9AE}" pid="3" name="MediaServiceImageTags">
    <vt:lpwstr/>
  </property>
</Properties>
</file>