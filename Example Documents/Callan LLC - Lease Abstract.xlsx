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Users\JC67222\Box\!My Business Files\02. NKF Team Business\Alternate Projects\"/>
    </mc:Choice>
  </mc:AlternateContent>
  <xr:revisionPtr revIDLastSave="0" documentId="13_ncr:1_{FC4275DC-6E08-4E83-93E8-E7C9C2585BBE}" xr6:coauthVersionLast="47" xr6:coauthVersionMax="47" xr10:uidLastSave="{00000000-0000-0000-0000-000000000000}"/>
  <bookViews>
    <workbookView xWindow="38280" yWindow="-120" windowWidth="38640" windowHeight="21840" xr2:uid="{3DDD8A35-4DAA-4E9D-99D0-47FFEB6ED13D}"/>
  </bookViews>
  <sheets>
    <sheet name="Callan LLC" sheetId="2" r:id="rId1"/>
  </sheets>
  <definedNames>
    <definedName name="_xlnm.Print_Area" localSheetId="0">'Callan LLC'!$A$1:$H$32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 l="1"/>
  <c r="F7" i="2"/>
  <c r="F6" i="2"/>
</calcChain>
</file>

<file path=xl/sharedStrings.xml><?xml version="1.0" encoding="utf-8"?>
<sst xmlns="http://schemas.openxmlformats.org/spreadsheetml/2006/main" count="87" uniqueCount="83">
  <si>
    <t>Lease Abstract</t>
  </si>
  <si>
    <t>Source</t>
  </si>
  <si>
    <t>Supplemental Notes</t>
  </si>
  <si>
    <t>TENANT NAME</t>
  </si>
  <si>
    <t>BASE RENT SCHEDULE</t>
  </si>
  <si>
    <t>BUILDING</t>
  </si>
  <si>
    <t>Year</t>
  </si>
  <si>
    <t>$ PSF</t>
  </si>
  <si>
    <t>Annual Rent</t>
  </si>
  <si>
    <t>SUITE</t>
  </si>
  <si>
    <t>RENTABLE AREA</t>
  </si>
  <si>
    <t>TENANT SINCE</t>
  </si>
  <si>
    <t>LEASE TERM (EXTENSION)</t>
  </si>
  <si>
    <t>COMMENCEMENT (EXTENSION)</t>
  </si>
  <si>
    <t>LEASE EXPIRATION (EXTENSION)</t>
  </si>
  <si>
    <t>RENT ABATEMENT</t>
  </si>
  <si>
    <t>OPERATING EXPENSES</t>
  </si>
  <si>
    <t>OPERATING EXPENSES - INCLUDED</t>
  </si>
  <si>
    <t>OPERATING EXPENSE CAP</t>
  </si>
  <si>
    <t>MANAGEMENT FEE CAP</t>
  </si>
  <si>
    <t>PRORATA SHARE</t>
  </si>
  <si>
    <t>GROSS UP CALCULATION</t>
  </si>
  <si>
    <t>TENANT CAM AUDIT RIGHTS</t>
  </si>
  <si>
    <t>REPAIRS &amp; MAINTENANCE</t>
  </si>
  <si>
    <t>CAPITAL EXPENSES</t>
  </si>
  <si>
    <t>RENEWAL OPTION</t>
  </si>
  <si>
    <t>TERMINATION OPTION</t>
  </si>
  <si>
    <t>OTHER OPTIONS</t>
  </si>
  <si>
    <t>N/A</t>
  </si>
  <si>
    <t>RIGHT TO PURCHASE</t>
  </si>
  <si>
    <t>PARKING</t>
  </si>
  <si>
    <t>SECURITY DEPOSIT</t>
  </si>
  <si>
    <t>REAL ESTATE TAXES</t>
  </si>
  <si>
    <t>TENANT IMPROVEMENT ALLOWANCE (EXTENSION)</t>
  </si>
  <si>
    <t>LANDLORD'S RELOCATION RIGHTS</t>
  </si>
  <si>
    <t>GUARANTOR</t>
  </si>
  <si>
    <t>Callan LLC</t>
  </si>
  <si>
    <t>1211 SW Fifth Avenue</t>
  </si>
  <si>
    <t>Lease, Sec. 1(m); Pg. 2</t>
  </si>
  <si>
    <t>4/1/2025 - 3/31/2026</t>
  </si>
  <si>
    <t>4/1/2026 - 3/31/2027</t>
  </si>
  <si>
    <t>4/1/2027 - 7/31/2027</t>
  </si>
  <si>
    <t>Lease, Sec. 1(o); Pg. 2</t>
  </si>
  <si>
    <t>Original Rent Schedule (Remaining) - 6,566 SF</t>
  </si>
  <si>
    <t>Lease, Sec. 1(h)(1); Pg. 2</t>
  </si>
  <si>
    <t>Lease, Sec. 1(g); Pg. 2</t>
  </si>
  <si>
    <t>Lease, Sec. 1(f); Pg. 1</t>
  </si>
  <si>
    <t>88 Months</t>
  </si>
  <si>
    <t>Lease, Sec. 1(i); Pg. 2</t>
  </si>
  <si>
    <t>Lease, Sec. 6.01(c)(ii); Pg. 9</t>
  </si>
  <si>
    <t>Lease, Sec. 6.01(a); Pg. 8 &amp; Sec. 6.01(c)(iv); Pg. 10</t>
  </si>
  <si>
    <t>Lease, Sec. 6.01(c)(v); Pg. 10</t>
  </si>
  <si>
    <t>Lease, Sec. 6.03; Pg. 10-11</t>
  </si>
  <si>
    <t>Lease, Sec. 7; Pg. 12-13</t>
  </si>
  <si>
    <t>Lease, Sec. 14.01; Pg. 25</t>
  </si>
  <si>
    <t>Lease, Sec. 1(q); Pg. 3 &amp; Sec. 27; Pg. 41-42</t>
  </si>
  <si>
    <t>Lease, Sec. 29.23; Pg. 49</t>
  </si>
  <si>
    <t>Lease, Sec. 31; Pg. 52-53</t>
  </si>
  <si>
    <t>Lease, Sec. 13.01; Pg. 22</t>
  </si>
  <si>
    <t>NNN - TT shall pay TT's Share of Applicable Operating Expenses related to the office portion of the Project. Office portion of the Project shall mean 96.14% of the Operating Expenses.</t>
  </si>
  <si>
    <t>TT shall pay, as Additional Rent, an amount equal to TT's Share of Applicable Taxes, which includes all real and personal property taxes, school taxes, sewer rates and charges, transit taxes or other Governmental assessments or charges, general, specific, ordinary or extraordinary, foreseen or unforeseen, assessed, levied or imposed upon the Project.</t>
  </si>
  <si>
    <t>TT has no rights or options to purchase the Property.</t>
  </si>
  <si>
    <t>Operating Expenses shall include all reasonable costs paid, payable, or incurred by LL for the management, operation, and maintenance of the Project, computed in accordance with generally accepted accounting principles, including wages, salaries, benefits and compensation of employees; consulting, accounting, legal, janitorial, maintenance, security, window washing and other services; management fees and costs; reasonable reserves for operating expenses; that part of office rent or rental value of space in the Project used or furnished by LL to enhance, manage, operate, and maintain the Project; reasonable allocation of costs to provide and operate free or discounted visitor parking for the Project; power, water, waste disposal, and other utilities; consumable materials and supplies, tools, and equipment; maintenance and repairs; insurance obtained with respect to the Project; depreciation or rental on personal property and equipment used in the management, operation, or maintenance of the Project which is or should be capitalized on the books of LL; any other costs, charges, and expenses that under generally accepted accounting principles would be regarded as management, maintenance, and operating expenses.</t>
  </si>
  <si>
    <t>TT shall have the right, during LL's normal business hours, within 90 days following the furnishing by LL of such statement, and upon at least 30 days prior written notice to LL, to inspect that portion of LL's books and records showing Operating Expenses. Such inspection shall be performed by either an employee of TT or an outside auditor, provided that TT's Auditor is paid on an hourly and not a contingent fee basis. If LL and TT's Auditor are unable to resolve the dispute despite such good faith efforts, the determination of LL shall be final, conclusive and binding upon LL and TT. If such statement shows an amount owing by TT that is less than the estimated payments previously made by TT for such calendar year, the excess will be held by LL and credited against the next payment of Rent; however, if the Term has ended, LL will refund the excess to TT within 30 days of determination. If such statement shows an amount owing by TT that is more than the estimated payments previously made by TT for such calendar year, TT will pay the deficiency to LL within 30 days after the delivery of such statement. All information received and/or reviewed by TT or TT's Auditor is confidential information of LL and will not be disclosed by TT to any third parties.</t>
  </si>
  <si>
    <t>TT shall have the option to extend the Term of the Lease for one (1) additional term of five (5) years, at Fair Market Rent, exercised by giving notice to LL not later than 12 months prior to the Expiration Date, time being of the essence.</t>
  </si>
  <si>
    <t>LL shall have the right at any time during the Term by giving 45 days’ prior notice to TT, to relocate TT to other space in the Building of approximately the same rentable area as the Premises and on a floor no lower than the current floor of the Premises. For a period of ten (10) days after such Notice is given, TT shall have the right to refuse to relocate to such other space by giving LL Notice. If TT notifies LL of TT's refusal to relocate to such other space, LL shall have the right by giving TT Notice to terminate the Lease as of a date specified in such Notice, which date shall not be less than 30 days nor more than 60 days after the date TT's Notice is given. If TT fails to notify LL within said ten (10) day period of TT's refusal to relocate to such other space, TT shall be deemed to have conclusively agreed to such relocation and LL shall improve such other space with improvements substantially similar to those located in the Premises. LL shall also move TT's property and equipment to such other space at LL's sole cost and expense.</t>
  </si>
  <si>
    <t>TT shall have the non-exclusive right to rent up to four (4) non-reserved monthly parking spaces, at a rate of $246.00 per month per unreserved parking space as of the Lease Date, adjusted from time-to-time by LL. The parking spaces will be unassigned, non-reserved, and non-designated. Each employee of TT who will be paying directly for parking will be required to sign a separate parking agreement.</t>
  </si>
  <si>
    <t>CD Ltr dated 4/2/2020</t>
  </si>
  <si>
    <t>1.20% (= 547,992 SF)</t>
  </si>
  <si>
    <t>Lease, Sec. 1(h(2) &amp; p); Pg. 2-3</t>
  </si>
  <si>
    <t>TT will maintain the Premises (including TT's equipment, personal property, and trade fixtures) in the same condition existing at the time they were delivered to TT, reasonable wear and tear and casualty loss, which LL has received the proceeds therefrom, excluded. TT shall also be responsible for the maintenance of any special equipment, such as supplemental air conditioning units, installed at TT's request.</t>
  </si>
  <si>
    <t>LL will as a cost of operation maintain, repair and restore the Common Areas of the Project and public restrooms, the exterior windows in the Building, the mechanical, plumbing and electrical equipment serving the Building, and the structure of the Building in reasonably good order and condition. Any damage occasioned by TT (or TT's employees, agents, contractors, licensees, invitees, customers or clients) shall be repaired by LL at TT's expense.</t>
  </si>
  <si>
    <t>Lease, Sec. 33; Pg. 55-56</t>
  </si>
  <si>
    <t>Lease, Sec. 32; Pg. 54-55</t>
  </si>
  <si>
    <t>RIGHT OF FIRST REFUSAL (ROFR)</t>
  </si>
  <si>
    <t>TT shall have a one-time right of first refusal, to add to the original Premises Suite 2220 located on the 22nd floor of the Building to the extent that any such First Refusal Space becomes vacant and Available and so long as at the time of the CD of TT's occupancy of the First Refusal Space, the remaining Term consists of at least 36 months.
If LL intends to enter into a lease for all or a portion of the First Refusal Space with anyone other than an existing TT, then LL shall, with written notice to TT, offer the right to lease such First Refusal Space upon the terms and conditions of the Proposed Lease to the Proposed TT for the First Refusal Space. TT may accept the offer by delivering to LL an unconditional acceptance in writing of such offer within three (3) business days after delivery by LL of the First Refusal Notice to TT.</t>
  </si>
  <si>
    <r>
      <t xml:space="preserve">Right of First Offer (ROFO): </t>
    </r>
    <r>
      <rPr>
        <sz val="11"/>
        <color rgb="FF0000FF"/>
        <rFont val="Arial Narrow"/>
        <family val="2"/>
      </rPr>
      <t>TT shall have a one-time right of first offer to lease Suite 2250 in the Building. Such offer of ROFO Space shall be given by LL to TT in a written notice, which First Offer Notice shall designate the space being offered and specify the terms and conditions upon which LL intends to lease the ROFO Space, as determined by LL. TT may accept the offer set forth in LL's First Offer Notice by delivering to LL an unconditional acceptance thereof, in writing, within ten (10) business days after LL's delivery of the First Offer Notice to TT. Within 20 days of TT's Acceptance Notice, LL and TT shall enter into an amendment to the Lease, prepared by LL and reasonably approved by TT, adding the ROFO Space to the Premises and setting forth the terms of TT's lease of the ROFO Space as set forth in LL's First Offer Notice.</t>
    </r>
  </si>
  <si>
    <t>Monthly Rent</t>
  </si>
  <si>
    <t>4 months</t>
  </si>
  <si>
    <t>$590,940.00 ($90 psf)</t>
  </si>
  <si>
    <t>Lease, Exhibit D; D-2</t>
  </si>
  <si>
    <t>ADDITIONAL WORK ALLOWANCE</t>
  </si>
  <si>
    <t>In the event that Tenant would like certain upgrade work to be done in and to the Premises in addition to Landlord's Work, Tenant may elect: (i) in a written notice to Landlord, to have Landlord contribute an additional amount not to exceed One Hundred Thirty One Thousand Three Hundred Twenty and 00/100 Dollars ($131,320.00), which amount represents $20.00 per rentable Allowance") towards that portion of the Additional Work. The amount of the square foot of the Premises (the "Additional Work Additional Work Allowance utilized by Tenant shall be amortized over the Term at an annual interest rate of eight percent (8%) and shall be added to the amount of Monthly Rent payable by Tenant for the Premises (pursuant to an amendment to the Lease or, at Landlord's election, a letter agreement, to be executed by Tenant and by Landlord reflecting the increase in Monthly Rent resulting from Tenant's use of the Additional Work Allowance), and (b) any unused portion of the Additional Work Allowance shall remain with Landlord and Tenant shall have no claim or right to such unused portion of the Additional Work Allowance.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</si>
</sst>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164" formatCode="m/d/yy;@"/>
  </numFmts>
  <fonts count="18" x14ac:knownFonts="1">
    <font>
      <sz val="11"/>
      <color theme="1"/>
      <name val="Calibri"/>
      <family val="2"/>
      <scheme val="minor"/>
    </font>
    <font>
      <b/>
      <sz val="14"/>
      <color theme="0"/>
      <name val="Arial Narrow"/>
      <family val="2"/>
    </font>
    <font>
      <sz val="11"/>
      <color theme="1"/>
      <name val="Arial Narrow"/>
      <family val="2"/>
    </font>
    <font>
      <b/>
      <sz val="11"/>
      <color theme="0"/>
      <name val="Arial Narrow"/>
      <family val="2"/>
    </font>
    <font>
      <b/>
      <sz val="11"/>
      <color theme="1"/>
      <name val="Arial Narrow"/>
      <family val="2"/>
    </font>
    <font>
      <b/>
      <u/>
      <sz val="11"/>
      <color theme="1"/>
      <name val="Arial Narrow"/>
      <family val="2"/>
    </font>
    <font>
      <b/>
      <sz val="11"/>
      <name val="Arial Narrow"/>
      <family val="2"/>
    </font>
    <font>
      <sz val="11"/>
      <name val="Arial Narrow"/>
      <family val="2"/>
    </font>
    <font>
      <sz val="11"/>
      <color rgb="FF0000FF"/>
      <name val="Arial Narrow"/>
      <family val="2"/>
    </font>
    <font>
      <sz val="8"/>
      <name val="Calibri"/>
      <family val="2"/>
      <scheme val="minor"/>
    </font>
    <font>
      <b/>
      <u/>
      <sz val="11"/>
      <name val="Arial Narrow"/>
      <family val="2"/>
    </font>
    <font>
      <sz val="11"/>
      <name val="Calibri"/>
      <family val="2"/>
      <scheme val="minor"/>
    </font>
    <font>
      <b/>
      <sz val="11"/>
      <name val="Calibri"/>
      <family val="2"/>
      <scheme val="minor"/>
    </font>
    <font>
      <b/>
      <sz val="11"/>
      <color rgb="FF0000FF"/>
      <name val="Arial Narrow"/>
      <family val="2"/>
    </font>
    <font>
      <sz val="11"/>
      <color rgb="FF0000FF"/>
      <name val="Calibri"/>
      <family val="2"/>
      <scheme val="minor"/>
    </font>
    <font>
      <i/>
      <sz val="11"/>
      <color rgb="FF0000FF"/>
      <name val="Calibri"/>
      <family val="2"/>
      <scheme val="minor"/>
    </font>
    <font>
      <sz val="11"/>
      <color rgb="FFFF33CC"/>
      <name val="Arial Narrow"/>
      <family val="2"/>
    </font>
    <font>
      <sz val="11"/>
      <color rgb="FFFF33CC"/>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16">
    <border>
      <left/>
      <right/>
      <top/>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24994659260841701"/>
      </top>
      <bottom style="thin">
        <color theme="0" tint="-0.24994659260841701"/>
      </bottom>
      <diagonal/>
    </border>
    <border>
      <left/>
      <right style="thin">
        <color theme="0" tint="-0.14999847407452621"/>
      </right>
      <top style="thin">
        <color theme="0" tint="-0.24994659260841701"/>
      </top>
      <bottom style="thin">
        <color theme="0" tint="-0.24994659260841701"/>
      </bottom>
      <diagonal/>
    </border>
    <border>
      <left style="thin">
        <color theme="0" tint="-0.14999847407452621"/>
      </left>
      <right/>
      <top style="thin">
        <color theme="0" tint="-0.14996795556505021"/>
      </top>
      <bottom style="thin">
        <color theme="0" tint="-0.14999847407452621"/>
      </bottom>
      <diagonal/>
    </border>
    <border>
      <left/>
      <right/>
      <top style="thin">
        <color theme="0" tint="-0.14996795556505021"/>
      </top>
      <bottom style="thin">
        <color theme="0" tint="-0.14999847407452621"/>
      </bottom>
      <diagonal/>
    </border>
    <border>
      <left/>
      <right/>
      <top style="thin">
        <color theme="0" tint="-0.24994659260841701"/>
      </top>
      <bottom/>
      <diagonal/>
    </border>
    <border>
      <left style="thin">
        <color theme="0" tint="-0.14999847407452621"/>
      </left>
      <right/>
      <top style="thin">
        <color theme="0" tint="-0.14996795556505021"/>
      </top>
      <bottom style="thin">
        <color theme="0" tint="-0.14996795556505021"/>
      </bottom>
      <diagonal/>
    </border>
    <border>
      <left/>
      <right style="thin">
        <color theme="0" tint="-0.14999847407452621"/>
      </right>
      <top style="thin">
        <color theme="0" tint="-0.24994659260841701"/>
      </top>
      <bottom/>
      <diagonal/>
    </border>
    <border>
      <left style="thin">
        <color theme="0" tint="-0.14999847407452621"/>
      </left>
      <right/>
      <top/>
      <bottom style="thin">
        <color theme="0" tint="-0.14999847407452621"/>
      </bottom>
      <diagonal/>
    </border>
  </borders>
  <cellStyleXfs count="1">
    <xf numFmtId="0" fontId="0" fillId="0" borderId="0"/>
  </cellStyleXfs>
  <cellXfs count="71">
    <xf numFmtId="0" fontId="0" fillId="0" borderId="0" xfId="0"/>
    <xf numFmtId="0" fontId="0" fillId="2" borderId="0" xfId="0" applyFill="1"/>
    <xf numFmtId="0" fontId="1" fillId="3" borderId="0" xfId="0" applyFont="1" applyFill="1"/>
    <xf numFmtId="0" fontId="2" fillId="3" borderId="0" xfId="0" applyFont="1" applyFill="1"/>
    <xf numFmtId="0" fontId="2" fillId="0" borderId="0" xfId="0" applyFont="1"/>
    <xf numFmtId="0" fontId="3" fillId="3" borderId="1" xfId="0" applyFont="1" applyFill="1" applyBorder="1"/>
    <xf numFmtId="0" fontId="2" fillId="0" borderId="0" xfId="0" applyFont="1" applyAlignment="1">
      <alignment horizontal="left" vertical="top" wrapText="1"/>
    </xf>
    <xf numFmtId="0" fontId="5" fillId="0" borderId="0" xfId="0" applyFont="1" applyAlignment="1">
      <alignment horizontal="center"/>
    </xf>
    <xf numFmtId="0" fontId="2" fillId="0" borderId="0" xfId="0" applyFont="1" applyAlignment="1">
      <alignment horizontal="left"/>
    </xf>
    <xf numFmtId="0" fontId="2" fillId="0" borderId="0" xfId="0" applyFont="1" applyAlignment="1">
      <alignment vertical="top"/>
    </xf>
    <xf numFmtId="0" fontId="4" fillId="0" borderId="0" xfId="0" applyFont="1" applyAlignment="1">
      <alignment horizontal="right"/>
    </xf>
    <xf numFmtId="2" fontId="2" fillId="0" borderId="0" xfId="0" applyNumberFormat="1" applyFont="1"/>
    <xf numFmtId="44" fontId="2" fillId="0" borderId="0" xfId="0" applyNumberFormat="1" applyFont="1"/>
    <xf numFmtId="0" fontId="2" fillId="0" borderId="0" xfId="0" applyFont="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14" fontId="2" fillId="0" borderId="0" xfId="0" applyNumberFormat="1" applyFont="1" applyAlignment="1">
      <alignment horizontal="right"/>
    </xf>
    <xf numFmtId="0" fontId="2" fillId="0" borderId="0" xfId="0" applyFont="1" applyAlignment="1">
      <alignment horizontal="left" wrapText="1"/>
    </xf>
    <xf numFmtId="0" fontId="2" fillId="3" borderId="0" xfId="0" applyFont="1" applyFill="1" applyAlignment="1">
      <alignment horizontal="left"/>
    </xf>
    <xf numFmtId="0" fontId="2" fillId="0" borderId="0" xfId="0" applyFont="1" applyAlignment="1">
      <alignment horizontal="left" vertical="top"/>
    </xf>
    <xf numFmtId="0" fontId="0" fillId="2" borderId="0" xfId="0" applyFill="1" applyAlignment="1">
      <alignment horizontal="left"/>
    </xf>
    <xf numFmtId="0" fontId="3" fillId="3" borderId="7" xfId="0" applyFont="1" applyFill="1" applyBorder="1" applyAlignment="1">
      <alignment horizontal="center"/>
    </xf>
    <xf numFmtId="0" fontId="6" fillId="0" borderId="5" xfId="0" applyFont="1" applyBorder="1"/>
    <xf numFmtId="0" fontId="7" fillId="0" borderId="5" xfId="0" applyFont="1" applyBorder="1"/>
    <xf numFmtId="0" fontId="7" fillId="0" borderId="6" xfId="0" applyFont="1" applyBorder="1"/>
    <xf numFmtId="44" fontId="2" fillId="0" borderId="0" xfId="0" applyNumberFormat="1" applyFont="1" applyAlignment="1">
      <alignment horizontal="left"/>
    </xf>
    <xf numFmtId="7" fontId="3" fillId="3" borderId="7" xfId="0" applyNumberFormat="1" applyFont="1" applyFill="1" applyBorder="1" applyAlignment="1">
      <alignment horizontal="center"/>
    </xf>
    <xf numFmtId="14" fontId="10" fillId="0" borderId="0" xfId="0" applyNumberFormat="1" applyFont="1"/>
    <xf numFmtId="7" fontId="7" fillId="0" borderId="0" xfId="0" applyNumberFormat="1" applyFont="1"/>
    <xf numFmtId="5" fontId="7" fillId="0" borderId="4" xfId="0" applyNumberFormat="1" applyFont="1" applyBorder="1"/>
    <xf numFmtId="0" fontId="11" fillId="2" borderId="0" xfId="0" applyFont="1" applyFill="1"/>
    <xf numFmtId="0" fontId="14" fillId="2" borderId="0" xfId="0" applyFont="1" applyFill="1"/>
    <xf numFmtId="14" fontId="8" fillId="0" borderId="8" xfId="0" applyNumberFormat="1" applyFont="1" applyBorder="1"/>
    <xf numFmtId="7" fontId="8" fillId="0" borderId="8" xfId="0" applyNumberFormat="1" applyFont="1" applyBorder="1"/>
    <xf numFmtId="7" fontId="8" fillId="0" borderId="9" xfId="0" applyNumberFormat="1" applyFont="1" applyBorder="1"/>
    <xf numFmtId="0" fontId="15" fillId="2" borderId="0" xfId="0" applyFont="1" applyFill="1" applyAlignment="1">
      <alignment horizontal="left" vertical="top"/>
    </xf>
    <xf numFmtId="0" fontId="15" fillId="2" borderId="0" xfId="0" applyFont="1" applyFill="1" applyAlignment="1">
      <alignment vertical="top" wrapText="1"/>
    </xf>
    <xf numFmtId="14" fontId="8" fillId="0" borderId="12" xfId="0" applyNumberFormat="1" applyFont="1" applyBorder="1"/>
    <xf numFmtId="7" fontId="8" fillId="0" borderId="12" xfId="0" applyNumberFormat="1" applyFont="1" applyBorder="1"/>
    <xf numFmtId="14" fontId="8" fillId="0" borderId="0" xfId="0" applyNumberFormat="1" applyFont="1"/>
    <xf numFmtId="7" fontId="8" fillId="0" borderId="0" xfId="0" applyNumberFormat="1" applyFont="1"/>
    <xf numFmtId="5" fontId="8" fillId="0" borderId="0" xfId="0" applyNumberFormat="1" applyFont="1"/>
    <xf numFmtId="0" fontId="12" fillId="2" borderId="0" xfId="0" applyFont="1" applyFill="1" applyAlignment="1">
      <alignment horizontal="center" vertical="center" wrapText="1"/>
    </xf>
    <xf numFmtId="0" fontId="3" fillId="3" borderId="1" xfId="0" applyFont="1" applyFill="1" applyBorder="1" applyAlignment="1">
      <alignment horizontal="left" vertical="top"/>
    </xf>
    <xf numFmtId="0" fontId="3" fillId="3" borderId="2" xfId="0" applyFont="1" applyFill="1" applyBorder="1" applyAlignment="1">
      <alignment horizontal="left" vertical="top"/>
    </xf>
    <xf numFmtId="0" fontId="3" fillId="3" borderId="13" xfId="0" applyFont="1" applyFill="1" applyBorder="1" applyAlignment="1">
      <alignment horizontal="left" vertical="top"/>
    </xf>
    <xf numFmtId="0" fontId="3" fillId="3" borderId="10" xfId="0" applyFont="1" applyFill="1" applyBorder="1" applyAlignment="1">
      <alignment horizontal="left" vertical="top" wrapText="1"/>
    </xf>
    <xf numFmtId="0" fontId="3" fillId="3" borderId="0" xfId="0" applyFont="1" applyFill="1" applyAlignment="1">
      <alignment horizontal="left" vertical="top"/>
    </xf>
    <xf numFmtId="5" fontId="8" fillId="0" borderId="4" xfId="0" applyNumberFormat="1" applyFont="1" applyBorder="1"/>
    <xf numFmtId="0" fontId="12" fillId="2" borderId="0" xfId="0" applyFont="1" applyFill="1" applyAlignment="1">
      <alignment vertical="center" wrapText="1"/>
    </xf>
    <xf numFmtId="7" fontId="8" fillId="0" borderId="14" xfId="0" applyNumberFormat="1" applyFont="1" applyBorder="1"/>
    <xf numFmtId="0" fontId="14" fillId="0" borderId="0" xfId="0" applyFont="1"/>
    <xf numFmtId="0" fontId="13" fillId="0" borderId="5" xfId="0" applyFont="1" applyBorder="1" applyAlignment="1">
      <alignment horizontal="justify" vertical="top"/>
    </xf>
    <xf numFmtId="0" fontId="8" fillId="0" borderId="7" xfId="0" applyFont="1" applyBorder="1" applyAlignment="1">
      <alignment horizontal="justify" vertical="top"/>
    </xf>
    <xf numFmtId="3" fontId="8" fillId="0" borderId="7" xfId="0" applyNumberFormat="1" applyFont="1" applyBorder="1" applyAlignment="1">
      <alignment horizontal="justify" vertical="top"/>
    </xf>
    <xf numFmtId="0" fontId="8" fillId="0" borderId="7" xfId="0" quotePrefix="1" applyFont="1" applyBorder="1" applyAlignment="1">
      <alignment horizontal="justify" vertical="top"/>
    </xf>
    <xf numFmtId="164" fontId="8" fillId="0" borderId="7" xfId="0" applyNumberFormat="1" applyFont="1" applyBorder="1" applyAlignment="1">
      <alignment horizontal="justify" vertical="top"/>
    </xf>
    <xf numFmtId="14" fontId="8" fillId="0" borderId="7" xfId="0" applyNumberFormat="1" applyFont="1" applyBorder="1" applyAlignment="1">
      <alignment horizontal="justify" vertical="top"/>
    </xf>
    <xf numFmtId="0" fontId="8" fillId="0" borderId="3" xfId="0" applyFont="1" applyBorder="1" applyAlignment="1">
      <alignment horizontal="justify" vertical="top"/>
    </xf>
    <xf numFmtId="10" fontId="8" fillId="0" borderId="3" xfId="0" applyNumberFormat="1" applyFont="1" applyBorder="1" applyAlignment="1">
      <alignment horizontal="justify" vertical="top"/>
    </xf>
    <xf numFmtId="0" fontId="8" fillId="0" borderId="3" xfId="0" applyFont="1" applyBorder="1" applyAlignment="1">
      <alignment horizontal="justify" vertical="top" wrapText="1"/>
    </xf>
    <xf numFmtId="0" fontId="13" fillId="0" borderId="3" xfId="0" applyFont="1" applyBorder="1" applyAlignment="1">
      <alignment horizontal="justify" vertical="top" wrapText="1"/>
    </xf>
    <xf numFmtId="0" fontId="8" fillId="0" borderId="7" xfId="0" applyFont="1" applyBorder="1" applyAlignment="1">
      <alignment horizontal="justify" vertical="top" wrapText="1"/>
    </xf>
    <xf numFmtId="0" fontId="8" fillId="0" borderId="0" xfId="0" applyFont="1" applyAlignment="1">
      <alignment horizontal="justify" vertical="top" wrapText="1"/>
    </xf>
    <xf numFmtId="8" fontId="8" fillId="0" borderId="7" xfId="0" applyNumberFormat="1" applyFont="1" applyBorder="1" applyAlignment="1">
      <alignment horizontal="justify" vertical="top"/>
    </xf>
    <xf numFmtId="7" fontId="16" fillId="0" borderId="8" xfId="0" applyNumberFormat="1" applyFont="1" applyBorder="1"/>
    <xf numFmtId="0" fontId="16" fillId="0" borderId="7" xfId="0" applyFont="1" applyBorder="1" applyAlignment="1">
      <alignment horizontal="justify" vertical="top"/>
    </xf>
    <xf numFmtId="0" fontId="16" fillId="0" borderId="11" xfId="0" applyFont="1" applyBorder="1" applyAlignment="1">
      <alignment horizontal="justify" vertical="top" wrapText="1"/>
    </xf>
    <xf numFmtId="0" fontId="17" fillId="0" borderId="0" xfId="0" applyFont="1"/>
    <xf numFmtId="0" fontId="3" fillId="3" borderId="15" xfId="0" applyFont="1" applyFill="1" applyBorder="1" applyAlignment="1">
      <alignment horizontal="left" vertical="top" wrapText="1"/>
    </xf>
    <xf numFmtId="6" fontId="16" fillId="0" borderId="5" xfId="0" applyNumberFormat="1" applyFont="1" applyBorder="1" applyAlignment="1">
      <alignment horizontal="justify" vertical="top" wrapText="1"/>
    </xf>
  </cellXfs>
  <cellStyles count="1">
    <cellStyle name="Normal" xfId="0" builtinId="0"/>
  </cellStyles>
  <dxfs count="0"/>
  <tableStyles count="0" defaultTableStyle="TableStyleMedium2" defaultPivotStyle="PivotStyleLight16"/>
  <colors>
    <mruColors>
      <color rgb="FFFF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C11A-B4CE-40D7-BF9C-3FEC32578EFF}">
  <sheetPr codeName="Sheet2"/>
  <dimension ref="A1:K34"/>
  <sheetViews>
    <sheetView showGridLines="0" tabSelected="1" view="pageBreakPreview" zoomScaleNormal="100" zoomScaleSheetLayoutView="100" workbookViewId="0">
      <selection activeCell="C36" sqref="C36"/>
    </sheetView>
  </sheetViews>
  <sheetFormatPr defaultColWidth="3.42578125" defaultRowHeight="15" x14ac:dyDescent="0.25"/>
  <cols>
    <col min="1" max="1" width="3.7109375" style="1" customWidth="1"/>
    <col min="2" max="2" width="44.5703125" style="1" customWidth="1"/>
    <col min="3" max="3" width="80.5703125" style="20" customWidth="1"/>
    <col min="4" max="4" width="10.7109375" style="1" customWidth="1"/>
    <col min="5" max="5" width="20.5703125" style="1" customWidth="1"/>
    <col min="6" max="6" width="10.5703125" style="1" customWidth="1"/>
    <col min="7" max="7" width="12.5703125" style="1" bestFit="1" customWidth="1"/>
    <col min="8" max="8" width="15.5703125" style="1" customWidth="1"/>
    <col min="9" max="9" width="3.42578125" style="1" customWidth="1"/>
    <col min="10" max="10" width="26.140625" style="1" customWidth="1"/>
    <col min="11" max="11" width="35.85546875" style="1" customWidth="1"/>
    <col min="12" max="16384" width="3.42578125" style="1"/>
  </cols>
  <sheetData>
    <row r="1" spans="1:11" ht="18.75" x14ac:dyDescent="0.3">
      <c r="A1" s="2" t="s">
        <v>0</v>
      </c>
      <c r="B1" s="3"/>
      <c r="C1" s="18"/>
      <c r="D1" s="3"/>
      <c r="E1" s="3"/>
      <c r="F1" s="3"/>
      <c r="G1" s="3"/>
      <c r="H1" s="3"/>
      <c r="I1" s="3"/>
      <c r="K1" s="4"/>
    </row>
    <row r="2" spans="1:11" ht="15" customHeight="1" x14ac:dyDescent="0.3">
      <c r="A2" s="4"/>
      <c r="B2" s="4"/>
      <c r="C2" s="8"/>
      <c r="D2" s="4"/>
      <c r="E2" s="4"/>
      <c r="F2" s="4"/>
      <c r="G2" s="4"/>
      <c r="H2" s="4"/>
      <c r="I2" s="4"/>
      <c r="J2" s="7" t="s">
        <v>1</v>
      </c>
      <c r="K2" s="7" t="s">
        <v>2</v>
      </c>
    </row>
    <row r="3" spans="1:11" ht="15" customHeight="1" x14ac:dyDescent="0.3">
      <c r="A3" s="4"/>
      <c r="B3" s="43" t="s">
        <v>3</v>
      </c>
      <c r="C3" s="52" t="s">
        <v>36</v>
      </c>
      <c r="D3" s="10"/>
      <c r="E3" s="22" t="s">
        <v>4</v>
      </c>
      <c r="F3" s="23"/>
      <c r="G3" s="23"/>
      <c r="H3" s="24"/>
      <c r="I3" s="4"/>
      <c r="J3" s="31"/>
    </row>
    <row r="4" spans="1:11" ht="15" customHeight="1" x14ac:dyDescent="0.3">
      <c r="A4" s="4"/>
      <c r="B4" s="43" t="s">
        <v>5</v>
      </c>
      <c r="C4" s="53" t="s">
        <v>37</v>
      </c>
      <c r="D4" s="13"/>
      <c r="E4" s="5" t="s">
        <v>6</v>
      </c>
      <c r="F4" s="26" t="s">
        <v>7</v>
      </c>
      <c r="G4" s="26" t="s">
        <v>77</v>
      </c>
      <c r="H4" s="21" t="s">
        <v>8</v>
      </c>
      <c r="I4" s="4"/>
      <c r="J4" s="51" t="s">
        <v>46</v>
      </c>
      <c r="K4" s="8"/>
    </row>
    <row r="5" spans="1:11" ht="15" customHeight="1" x14ac:dyDescent="0.3">
      <c r="A5" s="4"/>
      <c r="B5" s="43" t="s">
        <v>9</v>
      </c>
      <c r="C5" s="53">
        <v>2230</v>
      </c>
      <c r="D5" s="13"/>
      <c r="E5" s="27" t="s">
        <v>43</v>
      </c>
      <c r="F5" s="28"/>
      <c r="G5" s="28"/>
      <c r="H5" s="29"/>
      <c r="I5" s="4"/>
      <c r="J5" s="51" t="s">
        <v>45</v>
      </c>
      <c r="K5" s="8"/>
    </row>
    <row r="6" spans="1:11" ht="15" customHeight="1" x14ac:dyDescent="0.3">
      <c r="A6" s="4"/>
      <c r="B6" s="43" t="s">
        <v>10</v>
      </c>
      <c r="C6" s="54">
        <v>6566</v>
      </c>
      <c r="D6" s="13"/>
      <c r="E6" s="32" t="s">
        <v>39</v>
      </c>
      <c r="F6" s="33">
        <f>H6/6566</f>
        <v>42.893140420347244</v>
      </c>
      <c r="G6" s="65">
        <v>23469.7</v>
      </c>
      <c r="H6" s="34">
        <v>281636.36</v>
      </c>
      <c r="I6" s="4"/>
      <c r="J6" s="51" t="s">
        <v>44</v>
      </c>
      <c r="K6" s="8"/>
    </row>
    <row r="7" spans="1:11" ht="15" customHeight="1" x14ac:dyDescent="0.3">
      <c r="A7" s="4"/>
      <c r="B7" s="43" t="s">
        <v>11</v>
      </c>
      <c r="C7" s="55">
        <v>2020</v>
      </c>
      <c r="D7" s="13"/>
      <c r="E7" s="32" t="s">
        <v>40</v>
      </c>
      <c r="F7" s="33">
        <f>H7/6566</f>
        <v>44.179934511117885</v>
      </c>
      <c r="G7" s="65">
        <v>24173.79</v>
      </c>
      <c r="H7" s="34">
        <v>290085.45</v>
      </c>
      <c r="I7" s="4"/>
      <c r="J7" s="51"/>
      <c r="K7" s="8"/>
    </row>
    <row r="8" spans="1:11" ht="15" customHeight="1" x14ac:dyDescent="0.3">
      <c r="A8" s="4"/>
      <c r="B8" s="43" t="s">
        <v>12</v>
      </c>
      <c r="C8" s="56" t="s">
        <v>47</v>
      </c>
      <c r="D8" s="14"/>
      <c r="E8" s="32" t="s">
        <v>41</v>
      </c>
      <c r="F8" s="33">
        <f>H8/6566</f>
        <v>45.50533353639964</v>
      </c>
      <c r="G8" s="65">
        <v>24899</v>
      </c>
      <c r="H8" s="34">
        <v>298788.02</v>
      </c>
      <c r="I8" s="4"/>
      <c r="J8" s="51" t="s">
        <v>48</v>
      </c>
      <c r="K8" s="8"/>
    </row>
    <row r="9" spans="1:11" ht="15" customHeight="1" x14ac:dyDescent="0.3">
      <c r="A9" s="4"/>
      <c r="B9" s="43" t="s">
        <v>13</v>
      </c>
      <c r="C9" s="57">
        <v>43922</v>
      </c>
      <c r="D9" s="15"/>
      <c r="E9" s="37" t="s">
        <v>42</v>
      </c>
      <c r="F9" s="38"/>
      <c r="G9" s="38"/>
      <c r="H9" s="50"/>
      <c r="I9" s="4"/>
      <c r="J9" s="51" t="s">
        <v>67</v>
      </c>
      <c r="K9" s="8"/>
    </row>
    <row r="10" spans="1:11" ht="15" customHeight="1" x14ac:dyDescent="0.3">
      <c r="A10" s="4"/>
      <c r="B10" s="43" t="s">
        <v>14</v>
      </c>
      <c r="C10" s="57">
        <v>46599</v>
      </c>
      <c r="D10" s="15"/>
      <c r="E10" s="39"/>
      <c r="F10" s="40"/>
      <c r="G10" s="40"/>
      <c r="H10" s="40"/>
      <c r="I10" s="4"/>
      <c r="J10" s="51" t="s">
        <v>67</v>
      </c>
      <c r="K10" s="8"/>
    </row>
    <row r="11" spans="1:11" ht="15" customHeight="1" x14ac:dyDescent="0.3">
      <c r="A11" s="4"/>
      <c r="B11" s="43" t="s">
        <v>15</v>
      </c>
      <c r="C11" s="66" t="s">
        <v>78</v>
      </c>
      <c r="D11" s="16"/>
      <c r="E11" s="39"/>
      <c r="F11" s="40"/>
      <c r="G11" s="40"/>
      <c r="H11" s="41"/>
      <c r="I11" s="4"/>
      <c r="J11" s="51"/>
      <c r="K11" s="8"/>
    </row>
    <row r="12" spans="1:11" ht="33" x14ac:dyDescent="0.3">
      <c r="A12" s="4"/>
      <c r="B12" s="43" t="s">
        <v>16</v>
      </c>
      <c r="C12" s="53" t="s">
        <v>59</v>
      </c>
      <c r="D12" s="13"/>
      <c r="E12" s="39"/>
      <c r="F12" s="40"/>
      <c r="G12" s="40"/>
      <c r="H12" s="41"/>
      <c r="I12" s="4"/>
      <c r="J12" s="51" t="s">
        <v>50</v>
      </c>
      <c r="K12" s="25"/>
    </row>
    <row r="13" spans="1:11" ht="214.5" x14ac:dyDescent="0.3">
      <c r="A13" s="4"/>
      <c r="B13" s="44" t="s">
        <v>17</v>
      </c>
      <c r="C13" s="58" t="s">
        <v>62</v>
      </c>
      <c r="D13" s="13"/>
      <c r="E13" s="39"/>
      <c r="F13" s="40"/>
      <c r="G13" s="40"/>
      <c r="H13" s="48"/>
      <c r="I13" s="4"/>
      <c r="J13" s="51" t="s">
        <v>49</v>
      </c>
      <c r="K13" s="25"/>
    </row>
    <row r="14" spans="1:11" ht="15" customHeight="1" x14ac:dyDescent="0.3">
      <c r="A14" s="4"/>
      <c r="B14" s="44" t="s">
        <v>18</v>
      </c>
      <c r="C14" s="58" t="s">
        <v>28</v>
      </c>
      <c r="D14" s="13"/>
      <c r="E14" s="39"/>
      <c r="F14" s="40"/>
      <c r="G14" s="40"/>
      <c r="H14" s="41"/>
      <c r="I14" s="4"/>
      <c r="J14" s="51"/>
      <c r="K14" s="25"/>
    </row>
    <row r="15" spans="1:11" ht="15" customHeight="1" x14ac:dyDescent="0.3">
      <c r="A15" s="4"/>
      <c r="B15" s="44" t="s">
        <v>19</v>
      </c>
      <c r="C15" s="58" t="s">
        <v>28</v>
      </c>
      <c r="D15" s="13"/>
      <c r="E15" s="39"/>
      <c r="F15" s="40"/>
      <c r="G15" s="40"/>
      <c r="H15" s="41"/>
      <c r="I15" s="4"/>
      <c r="J15" s="51"/>
      <c r="K15" s="25"/>
    </row>
    <row r="16" spans="1:11" ht="15" customHeight="1" x14ac:dyDescent="0.3">
      <c r="A16" s="4"/>
      <c r="B16" s="44" t="s">
        <v>20</v>
      </c>
      <c r="C16" s="59" t="s">
        <v>68</v>
      </c>
      <c r="D16" s="13"/>
      <c r="E16" s="39"/>
      <c r="F16" s="40"/>
      <c r="G16" s="40"/>
      <c r="H16" s="41"/>
      <c r="I16" s="4"/>
      <c r="J16" s="51" t="s">
        <v>69</v>
      </c>
      <c r="K16" s="8"/>
    </row>
    <row r="17" spans="1:11" ht="16.5" x14ac:dyDescent="0.3">
      <c r="A17" s="4"/>
      <c r="B17" s="44" t="s">
        <v>21</v>
      </c>
      <c r="C17" s="59">
        <v>0.95</v>
      </c>
      <c r="D17" s="13"/>
      <c r="E17" s="39"/>
      <c r="F17" s="40"/>
      <c r="G17" s="40"/>
      <c r="H17" s="41"/>
      <c r="I17" s="4"/>
      <c r="J17" s="51" t="s">
        <v>51</v>
      </c>
      <c r="K17" s="8"/>
    </row>
    <row r="18" spans="1:11" ht="214.5" x14ac:dyDescent="0.3">
      <c r="A18" s="4"/>
      <c r="B18" s="44" t="s">
        <v>22</v>
      </c>
      <c r="C18" s="59" t="s">
        <v>63</v>
      </c>
      <c r="D18" s="13"/>
      <c r="E18" s="39"/>
      <c r="F18" s="40"/>
      <c r="G18" s="40"/>
      <c r="H18" s="41"/>
      <c r="I18" s="4"/>
      <c r="J18" s="51" t="s">
        <v>52</v>
      </c>
      <c r="K18" s="8"/>
    </row>
    <row r="19" spans="1:11" ht="66" x14ac:dyDescent="0.3">
      <c r="A19" s="4"/>
      <c r="B19" s="44" t="s">
        <v>32</v>
      </c>
      <c r="C19" s="60" t="s">
        <v>60</v>
      </c>
      <c r="D19" s="13"/>
      <c r="E19" s="39"/>
      <c r="F19" s="40"/>
      <c r="G19" s="40"/>
      <c r="H19" s="41"/>
      <c r="I19" s="4"/>
      <c r="J19" s="51" t="s">
        <v>53</v>
      </c>
      <c r="K19" s="8"/>
    </row>
    <row r="20" spans="1:11" ht="82.5" x14ac:dyDescent="0.3">
      <c r="A20" s="4"/>
      <c r="B20" s="44" t="s">
        <v>23</v>
      </c>
      <c r="C20" s="60" t="s">
        <v>70</v>
      </c>
      <c r="D20" s="13"/>
      <c r="E20" s="39"/>
      <c r="F20" s="40"/>
      <c r="G20" s="40"/>
      <c r="H20" s="41"/>
      <c r="I20" s="4"/>
      <c r="J20" s="51" t="s">
        <v>54</v>
      </c>
      <c r="K20" s="8"/>
    </row>
    <row r="21" spans="1:11" ht="82.5" x14ac:dyDescent="0.3">
      <c r="A21" s="4"/>
      <c r="B21" s="44" t="s">
        <v>24</v>
      </c>
      <c r="C21" s="60" t="s">
        <v>71</v>
      </c>
      <c r="D21" s="13"/>
      <c r="E21" s="39"/>
      <c r="F21" s="40"/>
      <c r="G21" s="40"/>
      <c r="H21" s="41"/>
      <c r="I21" s="4"/>
      <c r="J21" s="51" t="s">
        <v>58</v>
      </c>
      <c r="K21" s="8"/>
    </row>
    <row r="22" spans="1:11" ht="49.5" x14ac:dyDescent="0.3">
      <c r="A22" s="4"/>
      <c r="B22" s="44" t="s">
        <v>25</v>
      </c>
      <c r="C22" s="60" t="s">
        <v>64</v>
      </c>
      <c r="D22" s="13"/>
      <c r="E22" s="39"/>
      <c r="F22" s="40"/>
      <c r="G22" s="40"/>
      <c r="H22" s="41"/>
      <c r="I22" s="4"/>
      <c r="J22" s="51" t="s">
        <v>57</v>
      </c>
      <c r="K22" s="8"/>
    </row>
    <row r="23" spans="1:11" ht="16.5" x14ac:dyDescent="0.3">
      <c r="A23" s="4"/>
      <c r="B23" s="45" t="s">
        <v>26</v>
      </c>
      <c r="C23" s="58" t="s">
        <v>28</v>
      </c>
      <c r="D23" s="13"/>
      <c r="E23" s="35"/>
      <c r="F23" s="36"/>
      <c r="G23" s="36"/>
      <c r="H23" s="36"/>
      <c r="I23" s="4"/>
      <c r="J23" s="51"/>
      <c r="K23" s="8"/>
    </row>
    <row r="24" spans="1:11" ht="148.5" x14ac:dyDescent="0.3">
      <c r="A24" s="4"/>
      <c r="B24" s="44" t="s">
        <v>27</v>
      </c>
      <c r="C24" s="61" t="s">
        <v>76</v>
      </c>
      <c r="D24" s="13"/>
      <c r="E24" s="35"/>
      <c r="F24" s="36"/>
      <c r="G24" s="36"/>
      <c r="H24" s="36"/>
      <c r="I24" s="4"/>
      <c r="J24" s="51" t="s">
        <v>72</v>
      </c>
      <c r="K24" s="8"/>
    </row>
    <row r="25" spans="1:11" ht="165" x14ac:dyDescent="0.3">
      <c r="A25" s="4"/>
      <c r="B25" s="44" t="s">
        <v>74</v>
      </c>
      <c r="C25" s="60" t="s">
        <v>75</v>
      </c>
      <c r="D25" s="13"/>
      <c r="E25" s="35"/>
      <c r="F25" s="36"/>
      <c r="G25" s="36"/>
      <c r="H25" s="36"/>
      <c r="I25" s="4"/>
      <c r="J25" s="51" t="s">
        <v>73</v>
      </c>
      <c r="K25" s="8"/>
    </row>
    <row r="26" spans="1:11" ht="33" x14ac:dyDescent="0.3">
      <c r="A26" s="4"/>
      <c r="B26" s="46" t="s">
        <v>33</v>
      </c>
      <c r="C26" s="67" t="s">
        <v>79</v>
      </c>
      <c r="D26" s="13"/>
      <c r="E26" s="49"/>
      <c r="F26" s="49"/>
      <c r="G26" s="49"/>
      <c r="H26" s="49"/>
      <c r="I26" s="4"/>
      <c r="J26" s="68" t="s">
        <v>80</v>
      </c>
      <c r="K26" s="8"/>
    </row>
    <row r="27" spans="1:11" ht="198" x14ac:dyDescent="0.3">
      <c r="A27" s="4"/>
      <c r="B27" s="69" t="s">
        <v>81</v>
      </c>
      <c r="C27" s="70" t="s">
        <v>82</v>
      </c>
      <c r="D27" s="13"/>
      <c r="E27" s="49"/>
      <c r="F27" s="49"/>
      <c r="G27" s="49"/>
      <c r="H27" s="49"/>
      <c r="I27" s="4"/>
      <c r="J27" s="68"/>
      <c r="K27" s="8"/>
    </row>
    <row r="28" spans="1:11" ht="181.5" x14ac:dyDescent="0.3">
      <c r="A28" s="4"/>
      <c r="B28" s="43" t="s">
        <v>34</v>
      </c>
      <c r="C28" s="53" t="s">
        <v>65</v>
      </c>
      <c r="D28" s="17"/>
      <c r="E28" s="49"/>
      <c r="F28" s="49"/>
      <c r="G28" s="49"/>
      <c r="H28" s="49"/>
      <c r="I28" s="4"/>
      <c r="J28" s="51" t="s">
        <v>56</v>
      </c>
    </row>
    <row r="29" spans="1:11" ht="16.5" x14ac:dyDescent="0.3">
      <c r="A29" s="4"/>
      <c r="B29" s="43" t="s">
        <v>29</v>
      </c>
      <c r="C29" s="62" t="s">
        <v>61</v>
      </c>
      <c r="D29" s="13"/>
      <c r="E29" s="49"/>
      <c r="F29" s="49"/>
      <c r="G29" s="49"/>
      <c r="H29" s="49"/>
      <c r="I29" s="4"/>
      <c r="J29" s="51"/>
      <c r="K29" s="8"/>
    </row>
    <row r="30" spans="1:11" ht="84.75" customHeight="1" x14ac:dyDescent="0.3">
      <c r="A30" s="4"/>
      <c r="B30" s="43" t="s">
        <v>30</v>
      </c>
      <c r="C30" s="63" t="s">
        <v>66</v>
      </c>
      <c r="D30" s="6"/>
      <c r="E30" s="49"/>
      <c r="F30" s="49"/>
      <c r="G30" s="49"/>
      <c r="H30" s="49"/>
      <c r="I30" s="4"/>
      <c r="J30" s="51" t="s">
        <v>55</v>
      </c>
      <c r="K30" s="6"/>
    </row>
    <row r="31" spans="1:11" ht="15" customHeight="1" x14ac:dyDescent="0.3">
      <c r="A31" s="4"/>
      <c r="B31" s="47" t="s">
        <v>31</v>
      </c>
      <c r="C31" s="64">
        <v>24899</v>
      </c>
      <c r="D31" s="13"/>
      <c r="E31" s="49"/>
      <c r="F31" s="49"/>
      <c r="G31" s="49"/>
      <c r="H31" s="49"/>
      <c r="I31" s="4"/>
      <c r="J31" s="51" t="s">
        <v>38</v>
      </c>
      <c r="K31" s="8"/>
    </row>
    <row r="32" spans="1:11" ht="15" customHeight="1" x14ac:dyDescent="0.3">
      <c r="A32" s="4"/>
      <c r="B32" s="43" t="s">
        <v>35</v>
      </c>
      <c r="C32" s="64" t="s">
        <v>28</v>
      </c>
      <c r="D32" s="13"/>
      <c r="E32" s="42"/>
      <c r="F32" s="42"/>
      <c r="G32" s="42"/>
      <c r="H32" s="42"/>
      <c r="I32" s="4"/>
      <c r="J32" s="51"/>
      <c r="K32" s="8"/>
    </row>
    <row r="33" spans="1:11" ht="15" customHeight="1" x14ac:dyDescent="0.3">
      <c r="A33" s="4"/>
      <c r="D33" s="13"/>
      <c r="E33" s="4"/>
      <c r="F33" s="11"/>
      <c r="G33" s="11"/>
      <c r="H33" s="12"/>
      <c r="I33" s="4"/>
      <c r="J33" s="30"/>
      <c r="K33" s="8"/>
    </row>
    <row r="34" spans="1:11" customFormat="1" ht="15" customHeight="1" x14ac:dyDescent="0.3">
      <c r="A34" s="4"/>
      <c r="B34" s="9"/>
      <c r="C34" s="19"/>
      <c r="D34" s="9"/>
      <c r="E34" s="9"/>
      <c r="F34" s="9"/>
      <c r="G34" s="9"/>
      <c r="H34" s="9"/>
      <c r="I34" s="4"/>
      <c r="K34" s="9"/>
    </row>
  </sheetData>
  <phoneticPr fontId="9" type="noConversion"/>
  <pageMargins left="0.7" right="0.7" top="0.75" bottom="0.75" header="0.3" footer="0.3"/>
  <pageSetup scale="43" orientation="portrait" horizontalDpi="1200" verticalDpi="1200" r:id="rId1"/>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84fb056-0d87-41aa-b704-76b4b9e247d2" xsi:nil="true"/>
    <lcf76f155ced4ddcb4097134ff3c332f xmlns="65991880-c4a6-4c3b-a7a4-f1cca44801f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A85586859CD8D488E60F7ECC54BA2FA" ma:contentTypeVersion="18" ma:contentTypeDescription="Create a new document." ma:contentTypeScope="" ma:versionID="84fcf976ee65cf4cd35e3e40b50b9b14">
  <xsd:schema xmlns:xsd="http://www.w3.org/2001/XMLSchema" xmlns:xs="http://www.w3.org/2001/XMLSchema" xmlns:p="http://schemas.microsoft.com/office/2006/metadata/properties" xmlns:ns2="65991880-c4a6-4c3b-a7a4-f1cca44801f8" xmlns:ns3="184fb056-0d87-41aa-b704-76b4b9e247d2" targetNamespace="http://schemas.microsoft.com/office/2006/metadata/properties" ma:root="true" ma:fieldsID="bddeb206a2744a879d7809baee08a939" ns2:_="" ns3:_="">
    <xsd:import namespace="65991880-c4a6-4c3b-a7a4-f1cca44801f8"/>
    <xsd:import namespace="184fb056-0d87-41aa-b704-76b4b9e247d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991880-c4a6-4c3b-a7a4-f1cca44801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4168312-7a27-44cf-8c16-06e60958901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4fb056-0d87-41aa-b704-76b4b9e247d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b4526b9-ced6-4394-8e1b-3fe4f416beab}" ma:internalName="TaxCatchAll" ma:showField="CatchAllData" ma:web="184fb056-0d87-41aa-b704-76b4b9e247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F71351-3736-4035-BF9C-68EF951CA3C1}">
  <ds:schemaRefs>
    <ds:schemaRef ds:uri="http://schemas.microsoft.com/sharepoint/v3/contenttype/forms"/>
  </ds:schemaRefs>
</ds:datastoreItem>
</file>

<file path=customXml/itemProps2.xml><?xml version="1.0" encoding="utf-8"?>
<ds:datastoreItem xmlns:ds="http://schemas.openxmlformats.org/officeDocument/2006/customXml" ds:itemID="{373EFDA4-8EC8-43B0-9C3A-F496FF71FA17}">
  <ds:schemaRefs>
    <ds:schemaRef ds:uri="http://schemas.microsoft.com/office/2006/metadata/properties"/>
    <ds:schemaRef ds:uri="http://schemas.microsoft.com/office/infopath/2007/PartnerControls"/>
    <ds:schemaRef ds:uri="184fb056-0d87-41aa-b704-76b4b9e247d2"/>
    <ds:schemaRef ds:uri="65991880-c4a6-4c3b-a7a4-f1cca44801f8"/>
  </ds:schemaRefs>
</ds:datastoreItem>
</file>

<file path=customXml/itemProps3.xml><?xml version="1.0" encoding="utf-8"?>
<ds:datastoreItem xmlns:ds="http://schemas.openxmlformats.org/officeDocument/2006/customXml" ds:itemID="{C35D470E-CE73-4A1F-9EA1-B9A26EBD5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991880-c4a6-4c3b-a7a4-f1cca44801f8"/>
    <ds:schemaRef ds:uri="184fb056-0d87-41aa-b704-76b4b9e247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Callan LLC</vt:lpstr>
      <vt:lpstr>'Callan LLC'!Print_Area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Stoglin, Rider</dc:creator>
  <cp:keywords/>
  <dc:description/>
  <cp:lastModifiedBy>Childress, James</cp:lastModifiedBy>
  <cp:revision/>
  <dcterms:created xsi:type="dcterms:W3CDTF">2020-02-25T00:03:45Z</dcterms:created>
  <dcterms:modified xsi:type="dcterms:W3CDTF">2025-10-16T00:24:45Z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0x0101006A85586859CD8D488E60F7ECC54BA2FA</vt:lpwstr>
  </property>
  <property fmtid="{D5CDD505-2E9C-101B-9397-08002B2CF9AE}" pid="3" name="MediaServiceImageTags">
    <vt:lpwstr/>
  </property>
</Properties>
</file>