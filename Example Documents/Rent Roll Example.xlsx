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JC67222\Box\!My Business Files\02. NKF Team Business\Alternate Projects\"/>
    </mc:Choice>
  </mc:AlternateContent>
  <xr:revisionPtr revIDLastSave="0" documentId="13_ncr:1_{262B8671-5E19-463E-8A71-F2A1D5F278C7}" xr6:coauthVersionLast="47" xr6:coauthVersionMax="47" xr10:uidLastSave="{00000000-0000-0000-0000-000000000000}"/>
  <bookViews>
    <workbookView xWindow="38280" yWindow="-120" windowWidth="38640" windowHeight="21840" xr2:uid="{00000000-000D-0000-FFFF-FFFF00000000}"/>
  </bookViews>
  <sheets>
    <sheet name="Rent Roll" sheetId="1" r:id="rId1"/>
  </sheets>
  <definedNames>
    <definedName name="_xlnm._FilterDatabase" localSheetId="0" hidden="1">'Rent Roll'!#REF!</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71" i="1" l="1"/>
  <c r="K71" i="1" s="1"/>
  <c r="J70" i="1"/>
  <c r="K70" i="1" s="1"/>
  <c r="J69" i="1"/>
  <c r="K69" i="1" s="1"/>
  <c r="J68" i="1"/>
  <c r="K68" i="1" s="1"/>
  <c r="J54" i="1" l="1"/>
  <c r="K54" i="1" s="1"/>
  <c r="J53" i="1"/>
  <c r="K53" i="1" s="1"/>
  <c r="J67" i="1"/>
  <c r="K67" i="1" s="1"/>
  <c r="J88" i="1"/>
  <c r="K88" i="1" s="1"/>
  <c r="J82" i="1"/>
  <c r="K82" i="1" s="1"/>
  <c r="J83" i="1"/>
  <c r="K83" i="1" s="1"/>
  <c r="J84" i="1"/>
  <c r="K84" i="1" s="1"/>
  <c r="J85" i="1"/>
  <c r="K85" i="1" s="1"/>
  <c r="J86" i="1"/>
  <c r="K86" i="1" s="1"/>
  <c r="J87" i="1"/>
  <c r="K87" i="1" s="1"/>
  <c r="J27" i="1"/>
  <c r="K27" i="1" s="1"/>
  <c r="J28" i="1"/>
  <c r="K28" i="1" s="1"/>
  <c r="J29" i="1"/>
  <c r="K29" i="1" s="1"/>
  <c r="J44" i="1"/>
  <c r="K44" i="1" s="1"/>
  <c r="J41" i="1"/>
  <c r="K41" i="1" s="1"/>
  <c r="J42" i="1"/>
  <c r="K42" i="1" s="1"/>
  <c r="J43" i="1"/>
  <c r="K43" i="1" s="1"/>
  <c r="J40" i="1"/>
  <c r="K40" i="1" s="1"/>
  <c r="J19" i="1"/>
  <c r="K19" i="1" s="1"/>
  <c r="J20" i="1"/>
  <c r="K20" i="1" s="1"/>
  <c r="J18" i="1"/>
  <c r="K18" i="1" s="1"/>
  <c r="J7" i="1"/>
  <c r="K7" i="1" s="1"/>
  <c r="J6" i="1"/>
  <c r="K6" i="1" s="1"/>
  <c r="J5" i="1"/>
  <c r="K5" i="1" s="1"/>
  <c r="J81" i="1"/>
  <c r="K81" i="1" s="1"/>
  <c r="J66" i="1"/>
  <c r="K66" i="1" s="1"/>
  <c r="J26" i="1"/>
  <c r="K26" i="1" s="1"/>
</calcChain>
</file>

<file path=xl/sharedStrings.xml><?xml version="1.0" encoding="utf-8"?>
<sst xmlns="http://schemas.openxmlformats.org/spreadsheetml/2006/main" count="109" uniqueCount="63">
  <si>
    <t>Tenant Name</t>
  </si>
  <si>
    <t>Suite</t>
  </si>
  <si>
    <t>Begin</t>
  </si>
  <si>
    <t>Monthly</t>
  </si>
  <si>
    <t>Annually</t>
  </si>
  <si>
    <t>Lease Type</t>
  </si>
  <si>
    <t>Building Denominator</t>
  </si>
  <si>
    <t>As-Leased RSF</t>
  </si>
  <si>
    <t>Lease Term</t>
  </si>
  <si>
    <t>End</t>
  </si>
  <si>
    <t>Date</t>
  </si>
  <si>
    <t>$PSF/YR</t>
  </si>
  <si>
    <t>Current</t>
  </si>
  <si>
    <t>None</t>
  </si>
  <si>
    <t>Galois, Inc.</t>
  </si>
  <si>
    <t xml:space="preserve">Galois, Inc. </t>
  </si>
  <si>
    <t>FSG</t>
  </si>
  <si>
    <t>Gross Up</t>
  </si>
  <si>
    <t>Renewal Option</t>
  </si>
  <si>
    <t>Right of First Refusal</t>
  </si>
  <si>
    <t>Landlord shall first offer to Tenant the right to lease any vacant office space available for lease on the second (2nd) floor of the Building.</t>
  </si>
  <si>
    <t>Shiels Obletz Johnsen, Inc.</t>
  </si>
  <si>
    <t>Parking</t>
  </si>
  <si>
    <t>Option to renew for a five (5) year period giving notice at least twelve (12) months, but not more than fifteen (15) months prior to scheduled expiration.</t>
  </si>
  <si>
    <t>Landlord shall first offer to Tenant the right to lease that certain adjacent 2,500 square feet of Rentable Area on the seventh (7th) floor of the Building.</t>
  </si>
  <si>
    <t>Coates Kokes</t>
  </si>
  <si>
    <t>2024-2025</t>
  </si>
  <si>
    <t>One option to renew for a five (5) year period giving notice at least nine (9) months, but not more than twelve (12) months prior to scheduled expiration.</t>
  </si>
  <si>
    <t>One option to renew for a two (2) year period giving notice no later than eight (8) months prior to scheduled expiration.</t>
  </si>
  <si>
    <t>Renewable Northwest Project</t>
  </si>
  <si>
    <t>Clark Kjos</t>
  </si>
  <si>
    <t>Extension Option</t>
  </si>
  <si>
    <t>Unused TI</t>
  </si>
  <si>
    <t>Tenant shall have the option to extend the Term for one (1) additional period of five (5) years with written notice nine (9) months prior to the expiration of the Term.</t>
  </si>
  <si>
    <t xml:space="preserve"> Three (3) unreserved parking spaces at market rate.</t>
  </si>
  <si>
    <t xml:space="preserve">Tenant may apply up to $145,180 of any unused portion of their TI allowance towards other out of pocket expenses including Monthly Base Rent so long as written request is made by Tenant to Landlord prior to the Outside Allowance Date. </t>
  </si>
  <si>
    <t xml:space="preserve">Tenant may apply up to $19,065 ($5.00 PSF) of any unused portion of their TI allowance towards Monthly Base Rent. </t>
  </si>
  <si>
    <t>Storage</t>
  </si>
  <si>
    <t>Currently paying $463.89/month with 3% annual increases on May 1st.</t>
  </si>
  <si>
    <t>Currently paying $205.58/month with 3% annual increases on July 1st.</t>
  </si>
  <si>
    <t>“Controllable Operating Costs” shall mean all Operating Costs except for insurance costs, the costs to comply with governmental requirements and regulations, wages and salaries affected by the minimum wage, utility costs and snow and ice removal for the Building and the Project (and, since Taxes are not a part of Operating Costs, Taxes shall be expressly excluded from “Controllable Operating Costs”). Controllable Operating Costs shall be determined on an aggregate basis and not on an individual basis.</t>
  </si>
  <si>
    <t>5% expense cap compounded annually and calculated on a cumulative basis from Base Operating Cost Year.</t>
  </si>
  <si>
    <t>“Controllable Operating Costs” shall mean all Operating Costs except for insurance costs, janitorial costs, costs to comply with governmental requirements and regulations, wages and salaries affected by the minimum wage, utility costs and snow and ice removal for the Building and the Project (and, since not a part of Operating Costs, Taxes shall be expressly excluded from “Controllable Operating Costs”). Controllable Operating Costs shall be determined on an aggregate basis and not on an individual basis.</t>
  </si>
  <si>
    <t>5% expense cap compounded annually and calculated on a cumulative basis from initial full calendar year.</t>
  </si>
  <si>
    <t>“Controllable Expenses” shall mean all items of Operating Expenses other than the following items: (i) costs of all insurance, including any deductibles thereunder, relating to the Property or the ownership, occupancy or operations thereof: (ii) Taxes; (iii) electricity and other utilities; (iv) severe storm cleanup costs and snow/ice removal; or (v) security</t>
  </si>
  <si>
    <t>Quantum Spatial</t>
  </si>
  <si>
    <t>Controllable Expense Cap</t>
  </si>
  <si>
    <t>“Controllable Operating Costs” shall mean all Operating Costs except for insurance costs, janitorial costs, the costs to comply with governmental requirements and regulations, wages and salaries affected by the minimum wage and union wages, utility costs and snow and ice removal for the Building and the Project; and for the avoidance of doubt, since Taxes are not included within “Operating Costs”, Taxes shall also be expressly excluded from the term “Controllable Operating Costs” and shall not be subject to the foregoing cap. Controllable Operating Costs shall be determined on an aggregate basis and not on an individual basis.</t>
  </si>
  <si>
    <t>Controllable Costs</t>
  </si>
  <si>
    <t>Base Year (OpEx)</t>
  </si>
  <si>
    <t>Base Year (Taxes)</t>
  </si>
  <si>
    <t>2020-2021</t>
  </si>
  <si>
    <t>Tax Exemption</t>
  </si>
  <si>
    <t>2022-2023</t>
  </si>
  <si>
    <t>4% expense cap compounded annually and calculated on a cumulative basis from calendar year 2022.</t>
  </si>
  <si>
    <t xml:space="preserve">basis, </t>
  </si>
  <si>
    <t>Tenant shall have the right to lease up to five (5) unreserved parking spaces at the then-prevailing rate charged for such unreserved spaces, as such rate may be changed by Landlord or the parking operator from time-to-time.</t>
  </si>
  <si>
    <t>Competitor Entities</t>
  </si>
  <si>
    <t>Landlord covenants that Landlord will not, except with the consent of Tenant, enter into any new leases for space located in the Building with any of the following entities: Terracon Consultants, Inc.; Asplundh Construction, LLC; Power Engineers, Inc.; Burns &amp; McDonnel Engineering Company, Inc.; AquaWolf, LLC; and Mammoth Energy, Inc. (each of the foregoing, a “Competitor Entity”; collectively, the “Competitor Entities”). If Landlord breaches the above-listed restriction granted to Tenant, and such breach continues for more than thirty (30) days after Tenant notifies Landlord of such breach, then Tenant’s sole and exclusive remedy shall be to receive a partial abatement of fifty percent (50%) of the Base Rent due during the time period in which the breach of the above-listed restriction is ongoing; provided, however, if the foregoing abatement of Base Rent continues for twelve (12) consecutive months, then Tenant shall either terminate the Lease by written notice within thirty (30) days after the expiration of such twelve (12) month period or otherwise the abatement of Base Rent shall thereafter terminate (i.e., such that in no event shall the abatement of Base Rent set forth herein continue for longer than twelve (12) calendar months).</t>
  </si>
  <si>
    <t>2025-2026</t>
  </si>
  <si>
    <t>5% expense cap compounded annually and calculated on a cumulative basis from calendar year 2025.</t>
  </si>
  <si>
    <t>Tenant is tax exempt and shall not be obligated to pay for Tenant's pro-rata share of taxes.</t>
  </si>
  <si>
    <t>Pro-Rata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</si>
</sst>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00"/>
    <numFmt numFmtId="166" formatCode="&quot;$&quot;#,##0"/>
    <numFmt numFmtId="168" formatCode="0.0%"/>
    <numFmt numFmtId="169" formatCode="0.0000%"/>
    <numFmt numFmtId="172" formatCode="m/d/yyyy;@"/>
    <numFmt numFmtId="175" formatCode="0.0000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color theme="4"/>
      <name val="Calibri"/>
      <family val="2"/>
      <scheme val="minor"/>
    </font>
    <font>
      <sz val="11"/>
      <color theme="4"/>
      <name val="Calibri"/>
      <family val="2"/>
      <scheme val="minor"/>
    </font>
    <font>
      <b/>
      <sz val="11"/>
      <color rgb="FF000000"/>
      <name val="Calibri"/>
      <family val="2"/>
    </font>
    <font>
      <b/>
      <sz val="11"/>
      <name val="Calibri"/>
      <family val="2"/>
      <scheme val="minor"/>
    </font>
    <font>
      <b/>
      <sz val="12"/>
      <color theme="0"/>
      <name val="Calibri"/>
      <family val="2"/>
      <scheme val="minor"/>
    </font>
    <font>
      <b/>
      <sz val="12"/>
      <color theme="0"/>
      <name val="Calibri"/>
      <family val="2"/>
    </font>
    <font>
      <sz val="11"/>
      <color rgb="FFFF0000"/>
      <name val="Calibri"/>
      <family val="2"/>
      <scheme val="minor"/>
    </font>
    <font>
      <i/>
      <sz val="11"/>
      <color rgb="FF00B050"/>
      <name val="Calibri"/>
      <family val="2"/>
      <scheme val="minor"/>
    </font>
    <font>
      <i/>
      <sz val="11"/>
      <color rgb="FF0070C0"/>
      <name val="Calibri"/>
      <family val="2"/>
      <scheme val="minor"/>
    </font>
  </fonts>
  <fills count="3">
    <fill>
      <patternFill patternType="none"/>
    </fill>
    <fill>
      <patternFill patternType="gray125"/>
    </fill>
    <fill>
      <patternFill patternType="solid">
        <fgColor rgb="FF000F9F"/>
        <bgColor indexed="64"/>
      </patternFill>
    </fill>
  </fills>
  <borders count="3">
    <border>
      <left/>
      <right/>
      <top/>
      <bottom/>
      <diagonal/>
    </border>
    <border>
      <left/>
      <right/>
      <top/>
      <bottom style="thin">
        <color indexed="64"/>
      </bottom>
      <diagonal/>
    </border>
    <border>
      <left/>
      <right/>
      <top/>
      <bottom style="thin">
        <color theme="0"/>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84">
    <xf numFmtId="0" fontId="0" fillId="0" borderId="0" xfId="0"/>
    <xf numFmtId="0" fontId="3" fillId="0" borderId="0" xfId="0" applyFont="1"/>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center" wrapText="1"/>
    </xf>
    <xf numFmtId="3" fontId="0" fillId="0" borderId="0" xfId="0" applyNumberFormat="1" applyAlignment="1">
      <alignment horizontal="center"/>
    </xf>
    <xf numFmtId="164" fontId="0" fillId="0" borderId="0" xfId="2" applyNumberFormat="1" applyFont="1" applyFill="1" applyAlignment="1">
      <alignment horizontal="center"/>
    </xf>
    <xf numFmtId="10" fontId="0" fillId="0" borderId="0" xfId="0" applyNumberFormat="1" applyAlignment="1">
      <alignment horizontal="center"/>
    </xf>
    <xf numFmtId="0" fontId="3" fillId="0" borderId="0" xfId="0" applyFont="1" applyAlignment="1">
      <alignment horizontal="center"/>
    </xf>
    <xf numFmtId="164" fontId="3" fillId="0" borderId="0" xfId="0" applyNumberFormat="1" applyFont="1" applyAlignment="1">
      <alignment horizontal="center"/>
    </xf>
    <xf numFmtId="0" fontId="4" fillId="0" borderId="0" xfId="0" applyFont="1" applyAlignment="1">
      <alignment horizontal="right"/>
    </xf>
    <xf numFmtId="0" fontId="6" fillId="0" borderId="0" xfId="0" applyFont="1" applyAlignment="1">
      <alignment horizontal="center" wrapText="1"/>
    </xf>
    <xf numFmtId="0" fontId="0" fillId="0" borderId="0" xfId="0" applyAlignment="1">
      <alignment horizontal="right"/>
    </xf>
    <xf numFmtId="0" fontId="0" fillId="0" borderId="1" xfId="0" applyBorder="1"/>
    <xf numFmtId="169" fontId="0" fillId="0" borderId="0" xfId="0" applyNumberFormat="1" applyAlignment="1">
      <alignment horizontal="center"/>
    </xf>
    <xf numFmtId="0" fontId="8" fillId="2" borderId="0" xfId="0" applyFont="1" applyFill="1" applyAlignment="1">
      <alignment horizontal="center" wrapText="1"/>
    </xf>
    <xf numFmtId="0" fontId="8" fillId="2" borderId="0" xfId="0" applyFont="1" applyFill="1" applyAlignment="1">
      <alignment horizontal="right" wrapText="1"/>
    </xf>
    <xf numFmtId="164" fontId="8" fillId="2" borderId="0" xfId="0" applyNumberFormat="1" applyFont="1" applyFill="1" applyAlignment="1">
      <alignment horizontal="center" wrapText="1"/>
    </xf>
    <xf numFmtId="0" fontId="9" fillId="2" borderId="1" xfId="0" applyFont="1" applyFill="1" applyBorder="1" applyAlignment="1">
      <alignment horizontal="center" wrapText="1"/>
    </xf>
    <xf numFmtId="0" fontId="9" fillId="2" borderId="1" xfId="0" applyFont="1" applyFill="1" applyBorder="1" applyAlignment="1">
      <alignment horizontal="right" wrapText="1"/>
    </xf>
    <xf numFmtId="164" fontId="9" fillId="2" borderId="1" xfId="0" applyNumberFormat="1" applyFont="1" applyFill="1" applyBorder="1" applyAlignment="1">
      <alignment horizontal="center" wrapText="1"/>
    </xf>
    <xf numFmtId="0" fontId="9" fillId="0" borderId="0" xfId="0" applyFont="1" applyAlignment="1">
      <alignment horizontal="center" wrapText="1"/>
    </xf>
    <xf numFmtId="0" fontId="9" fillId="0" borderId="0" xfId="0" applyFont="1" applyAlignment="1">
      <alignment horizontal="right" wrapText="1"/>
    </xf>
    <xf numFmtId="164" fontId="9" fillId="0" borderId="0" xfId="0" applyNumberFormat="1" applyFont="1" applyAlignment="1">
      <alignment horizontal="center" wrapText="1"/>
    </xf>
    <xf numFmtId="0" fontId="2" fillId="0" borderId="0" xfId="0" applyFont="1" applyAlignment="1">
      <alignment horizontal="left"/>
    </xf>
    <xf numFmtId="3" fontId="9" fillId="0" borderId="0" xfId="0" applyNumberFormat="1" applyFont="1" applyAlignment="1">
      <alignment horizontal="center" wrapText="1"/>
    </xf>
    <xf numFmtId="3" fontId="3" fillId="0" borderId="0" xfId="1" applyNumberFormat="1" applyFont="1" applyFill="1" applyBorder="1" applyAlignment="1">
      <alignment horizontal="center"/>
    </xf>
    <xf numFmtId="0" fontId="3" fillId="0" borderId="1" xfId="0" applyFont="1" applyBorder="1" applyAlignment="1">
      <alignment horizontal="center"/>
    </xf>
    <xf numFmtId="0" fontId="3" fillId="0" borderId="1" xfId="0" applyFont="1" applyBorder="1"/>
    <xf numFmtId="0" fontId="4" fillId="0" borderId="1" xfId="0" applyFont="1" applyBorder="1" applyAlignment="1">
      <alignment horizontal="right"/>
    </xf>
    <xf numFmtId="3" fontId="3" fillId="0" borderId="1" xfId="1" applyNumberFormat="1" applyFont="1" applyFill="1" applyBorder="1" applyAlignment="1">
      <alignment horizontal="center"/>
    </xf>
    <xf numFmtId="164" fontId="0" fillId="0" borderId="1" xfId="0" applyNumberFormat="1" applyBorder="1" applyAlignment="1">
      <alignment horizontal="center"/>
    </xf>
    <xf numFmtId="164" fontId="3" fillId="0" borderId="1" xfId="0" applyNumberFormat="1" applyFont="1" applyBorder="1" applyAlignment="1">
      <alignment horizontal="center"/>
    </xf>
    <xf numFmtId="164" fontId="3" fillId="0" borderId="0" xfId="2" applyNumberFormat="1" applyFont="1" applyFill="1" applyAlignment="1">
      <alignment horizontal="center"/>
    </xf>
    <xf numFmtId="10" fontId="6" fillId="0" borderId="0" xfId="0" applyNumberFormat="1" applyFont="1" applyAlignment="1">
      <alignment horizontal="center" wrapText="1"/>
    </xf>
    <xf numFmtId="10" fontId="3" fillId="0" borderId="0" xfId="0" applyNumberFormat="1" applyFont="1" applyAlignment="1">
      <alignment horizontal="center"/>
    </xf>
    <xf numFmtId="10" fontId="3" fillId="0" borderId="1" xfId="0" applyNumberFormat="1" applyFont="1" applyBorder="1" applyAlignment="1">
      <alignment horizontal="center"/>
    </xf>
    <xf numFmtId="10" fontId="0" fillId="0" borderId="0" xfId="0" applyNumberFormat="1"/>
    <xf numFmtId="164" fontId="0" fillId="0" borderId="0" xfId="0" applyNumberFormat="1"/>
    <xf numFmtId="3" fontId="0" fillId="0" borderId="0" xfId="0" applyNumberFormat="1"/>
    <xf numFmtId="0" fontId="11" fillId="0" borderId="0" xfId="0" applyFont="1"/>
    <xf numFmtId="168" fontId="0" fillId="0" borderId="0" xfId="3" applyNumberFormat="1" applyFont="1"/>
    <xf numFmtId="166" fontId="0" fillId="0" borderId="0" xfId="0" applyNumberFormat="1"/>
    <xf numFmtId="4" fontId="0" fillId="0" borderId="0" xfId="0" applyNumberFormat="1"/>
    <xf numFmtId="3" fontId="7" fillId="0" borderId="0" xfId="0" applyNumberFormat="1" applyFont="1" applyAlignment="1">
      <alignment horizontal="right" wrapText="1"/>
    </xf>
    <xf numFmtId="172" fontId="0" fillId="0" borderId="0" xfId="0" applyNumberFormat="1"/>
    <xf numFmtId="172" fontId="0" fillId="0" borderId="0" xfId="0" applyNumberFormat="1" applyAlignment="1">
      <alignment horizontal="center"/>
    </xf>
    <xf numFmtId="172" fontId="9" fillId="2" borderId="1" xfId="0" applyNumberFormat="1" applyFont="1" applyFill="1" applyBorder="1" applyAlignment="1">
      <alignment horizontal="center" wrapText="1"/>
    </xf>
    <xf numFmtId="172" fontId="9" fillId="0" borderId="0" xfId="0" applyNumberFormat="1" applyFont="1" applyAlignment="1">
      <alignment horizontal="center" wrapText="1"/>
    </xf>
    <xf numFmtId="172" fontId="0" fillId="0" borderId="0" xfId="0" quotePrefix="1" applyNumberFormat="1" applyAlignment="1">
      <alignment horizontal="center"/>
    </xf>
    <xf numFmtId="172" fontId="3" fillId="0" borderId="0" xfId="0" applyNumberFormat="1" applyFont="1" applyAlignment="1">
      <alignment horizontal="center"/>
    </xf>
    <xf numFmtId="172" fontId="3" fillId="0" borderId="1" xfId="0" applyNumberFormat="1" applyFont="1" applyBorder="1" applyAlignment="1">
      <alignment horizontal="center"/>
    </xf>
    <xf numFmtId="172" fontId="8" fillId="2" borderId="0" xfId="0" applyNumberFormat="1" applyFont="1" applyFill="1" applyAlignment="1">
      <alignment horizontal="center" wrapText="1"/>
    </xf>
    <xf numFmtId="0" fontId="3" fillId="0" borderId="0" xfId="0" quotePrefix="1" applyFont="1" applyAlignment="1">
      <alignment horizontal="center"/>
    </xf>
    <xf numFmtId="0" fontId="7" fillId="0" borderId="0" xfId="0" applyFont="1" applyAlignment="1">
      <alignment horizontal="right"/>
    </xf>
    <xf numFmtId="0" fontId="0" fillId="0" borderId="0" xfId="0" applyAlignment="1">
      <alignment horizontal="left"/>
    </xf>
    <xf numFmtId="0" fontId="0" fillId="0" borderId="0" xfId="2" applyNumberFormat="1" applyFont="1" applyFill="1" applyAlignment="1">
      <alignment horizontal="center"/>
    </xf>
    <xf numFmtId="172" fontId="3" fillId="0" borderId="0" xfId="0" quotePrefix="1" applyNumberFormat="1" applyFont="1" applyAlignment="1">
      <alignment horizontal="center"/>
    </xf>
    <xf numFmtId="175" fontId="0" fillId="0" borderId="0" xfId="0" applyNumberFormat="1"/>
    <xf numFmtId="164" fontId="4" fillId="0" borderId="0" xfId="0" applyNumberFormat="1" applyFont="1" applyAlignment="1">
      <alignment horizontal="right"/>
    </xf>
    <xf numFmtId="10" fontId="0" fillId="0" borderId="0" xfId="3" applyNumberFormat="1" applyFont="1" applyAlignment="1">
      <alignment horizontal="center"/>
    </xf>
    <xf numFmtId="0" fontId="5" fillId="0" borderId="0" xfId="0" applyFont="1" applyAlignment="1">
      <alignment horizontal="left"/>
    </xf>
    <xf numFmtId="9" fontId="5" fillId="0" borderId="0" xfId="0" applyNumberFormat="1" applyFont="1" applyAlignment="1">
      <alignment horizontal="left"/>
    </xf>
    <xf numFmtId="10" fontId="3" fillId="0" borderId="0" xfId="3" applyNumberFormat="1" applyFont="1" applyAlignment="1">
      <alignment horizontal="center"/>
    </xf>
    <xf numFmtId="0" fontId="12" fillId="0" borderId="0" xfId="0" applyFont="1"/>
    <xf numFmtId="4" fontId="3" fillId="0" borderId="0" xfId="0" applyNumberFormat="1" applyFont="1" applyAlignment="1">
      <alignment horizontal="center"/>
    </xf>
    <xf numFmtId="164" fontId="0" fillId="0" borderId="0" xfId="2" applyNumberFormat="1" applyFont="1" applyAlignment="1">
      <alignment horizontal="center"/>
    </xf>
    <xf numFmtId="1" fontId="5" fillId="0" borderId="0" xfId="0" applyNumberFormat="1" applyFont="1" applyAlignment="1">
      <alignment horizontal="left"/>
    </xf>
    <xf numFmtId="0" fontId="10" fillId="0" borderId="0" xfId="0" applyFont="1"/>
    <xf numFmtId="3" fontId="11" fillId="0" borderId="0" xfId="0" applyNumberFormat="1" applyFont="1"/>
    <xf numFmtId="166" fontId="11" fillId="0" borderId="0" xfId="0" applyNumberFormat="1" applyFont="1"/>
    <xf numFmtId="164" fontId="11" fillId="0" borderId="0" xfId="0" applyNumberFormat="1" applyFont="1"/>
    <xf numFmtId="0" fontId="8" fillId="2" borderId="0" xfId="0" applyFont="1" applyFill="1" applyAlignment="1">
      <alignment horizontal="left" wrapText="1"/>
    </xf>
    <xf numFmtId="0" fontId="9" fillId="2" borderId="1" xfId="0" applyFont="1" applyFill="1" applyBorder="1" applyAlignment="1">
      <alignment horizontal="left" wrapText="1"/>
    </xf>
    <xf numFmtId="0" fontId="9" fillId="0" borderId="0" xfId="0" applyFont="1" applyAlignment="1">
      <alignment horizontal="left" wrapText="1"/>
    </xf>
    <xf numFmtId="0" fontId="3" fillId="0" borderId="0" xfId="0" applyFont="1" applyAlignment="1">
      <alignment horizontal="left"/>
    </xf>
    <xf numFmtId="0" fontId="5" fillId="0" borderId="1" xfId="0" applyFont="1" applyBorder="1" applyAlignment="1">
      <alignment horizontal="left"/>
    </xf>
    <xf numFmtId="3" fontId="0" fillId="0" borderId="0" xfId="0" applyNumberFormat="1" applyAlignment="1">
      <alignment horizontal="left"/>
    </xf>
    <xf numFmtId="172" fontId="8" fillId="2" borderId="2" xfId="0" applyNumberFormat="1" applyFont="1" applyFill="1" applyBorder="1" applyAlignment="1">
      <alignment horizontal="center"/>
    </xf>
    <xf numFmtId="0" fontId="2" fillId="0" borderId="0" xfId="0" applyFont="1" applyFill="1" applyAlignment="1">
      <alignment horizontal="left"/>
    </xf>
    <xf numFmtId="3" fontId="2" fillId="0" borderId="0" xfId="0" applyNumberFormat="1" applyFont="1" applyFill="1" applyAlignment="1">
      <alignment horizontal="center"/>
    </xf>
    <xf numFmtId="172" fontId="2" fillId="0" borderId="0" xfId="0" applyNumberFormat="1" applyFont="1" applyFill="1" applyAlignment="1">
      <alignment horizontal="left"/>
    </xf>
    <xf numFmtId="10" fontId="6" fillId="0" borderId="0" xfId="0" applyNumberFormat="1" applyFont="1" applyFill="1" applyAlignment="1">
      <alignment horizontal="center" wrapText="1"/>
    </xf>
    <xf numFmtId="0" fontId="6" fillId="0" borderId="0" xfId="0" applyFont="1" applyFill="1" applyAlignment="1">
      <alignment horizontal="center"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000F9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N135"/>
  <sheetViews>
    <sheetView tabSelected="1" zoomScaleNormal="100" zoomScaleSheetLayoutView="90" workbookViewId="0">
      <selection activeCell="F8" sqref="F8"/>
    </sheetView>
  </sheetViews>
  <sheetFormatPr defaultColWidth="8.85546875" defaultRowHeight="15" x14ac:dyDescent="0.25"/>
  <cols>
    <col min="1" max="1" width="50.42578125" bestFit="1" customWidth="1"/>
    <col min="2" max="2" width="16.42578125" bestFit="1" customWidth="1"/>
    <col min="3" max="3" width="17.140625" bestFit="1" customWidth="1"/>
    <col min="4" max="4" width="13.28515625" style="55" customWidth="1"/>
    <col min="5" max="5" width="12.7109375" style="2" customWidth="1"/>
    <col min="6" max="6" width="12.42578125" style="45" bestFit="1" customWidth="1"/>
    <col min="7" max="7" width="15.85546875" style="45" customWidth="1"/>
    <col min="8" max="8" width="11.85546875" style="45" customWidth="1"/>
    <col min="9" max="9" width="12" customWidth="1"/>
    <col min="10" max="10" width="13.42578125" customWidth="1"/>
    <col min="11" max="11" width="9.85546875" customWidth="1"/>
    <col min="12" max="12" width="15.42578125" customWidth="1"/>
    <col min="13" max="13" width="12.7109375" customWidth="1"/>
    <col min="14" max="14" width="15.28515625" customWidth="1"/>
    <col min="22" max="22" width="9.7109375" bestFit="1" customWidth="1"/>
    <col min="23" max="23" width="10.140625" bestFit="1" customWidth="1"/>
    <col min="26" max="26" width="14.42578125" customWidth="1"/>
  </cols>
  <sheetData>
    <row r="1" spans="1:14" s="4" customFormat="1" ht="15.75" x14ac:dyDescent="0.25">
      <c r="A1" s="15"/>
      <c r="B1" s="15"/>
      <c r="C1" s="16"/>
      <c r="D1" s="72"/>
      <c r="E1" s="15"/>
      <c r="F1" s="78" t="s">
        <v>8</v>
      </c>
      <c r="G1" s="78"/>
      <c r="H1" s="52"/>
      <c r="I1" s="17"/>
      <c r="J1" s="17"/>
      <c r="K1" s="17"/>
      <c r="L1" s="15"/>
      <c r="M1" s="15"/>
      <c r="N1" s="15"/>
    </row>
    <row r="2" spans="1:14" ht="31.5" x14ac:dyDescent="0.25">
      <c r="A2" s="18" t="s">
        <v>0</v>
      </c>
      <c r="B2" s="18" t="s">
        <v>1</v>
      </c>
      <c r="C2" s="19"/>
      <c r="D2" s="73"/>
      <c r="E2" s="18" t="s">
        <v>7</v>
      </c>
      <c r="F2" s="47" t="s">
        <v>2</v>
      </c>
      <c r="G2" s="47" t="s">
        <v>9</v>
      </c>
      <c r="H2" s="47" t="s">
        <v>10</v>
      </c>
      <c r="I2" s="20" t="s">
        <v>3</v>
      </c>
      <c r="J2" s="20" t="s">
        <v>4</v>
      </c>
      <c r="K2" s="20" t="s">
        <v>11</v>
      </c>
      <c r="L2" s="18" t="s">
        <v>5</v>
      </c>
      <c r="M2" s="18" t="s">
        <v>62</v>
      </c>
      <c r="N2" s="18" t="s">
        <v>6</v>
      </c>
    </row>
    <row r="3" spans="1:14" ht="15.75" x14ac:dyDescent="0.25">
      <c r="A3" s="21"/>
      <c r="B3" s="21"/>
      <c r="C3" s="22"/>
      <c r="D3" s="74"/>
      <c r="E3" s="25"/>
      <c r="F3" s="48"/>
      <c r="G3" s="48"/>
      <c r="H3" s="48"/>
      <c r="I3" s="23"/>
      <c r="J3" s="23"/>
      <c r="K3" s="23"/>
      <c r="L3" s="21"/>
      <c r="M3" s="34"/>
      <c r="N3" s="11"/>
    </row>
    <row r="4" spans="1:14" x14ac:dyDescent="0.25">
      <c r="A4" s="24"/>
      <c r="B4" s="79"/>
      <c r="C4" s="79"/>
      <c r="D4" s="79"/>
      <c r="E4" s="80"/>
      <c r="F4" s="81"/>
      <c r="G4" s="81"/>
      <c r="H4" s="81"/>
      <c r="I4" s="79"/>
      <c r="J4" s="79"/>
      <c r="K4" s="79"/>
      <c r="L4" s="79"/>
      <c r="M4" s="82"/>
      <c r="N4" s="83"/>
    </row>
    <row r="5" spans="1:14" x14ac:dyDescent="0.25">
      <c r="A5" s="1" t="s">
        <v>14</v>
      </c>
      <c r="B5" s="53">
        <v>200</v>
      </c>
      <c r="C5" s="54"/>
      <c r="D5" s="75"/>
      <c r="E5" s="26">
        <v>10724</v>
      </c>
      <c r="F5" s="50">
        <v>39630</v>
      </c>
      <c r="G5" s="50">
        <v>46691</v>
      </c>
      <c r="H5" s="50" t="s">
        <v>12</v>
      </c>
      <c r="I5" s="3">
        <v>37292.71</v>
      </c>
      <c r="J5" s="33">
        <f>I5*12</f>
        <v>447512.52</v>
      </c>
      <c r="K5" s="6">
        <f>J5/$E$5</f>
        <v>41.730000000000004</v>
      </c>
      <c r="L5" s="8" t="s">
        <v>16</v>
      </c>
      <c r="M5" s="14">
        <v>4.8089686098654709E-2</v>
      </c>
      <c r="N5" s="5"/>
    </row>
    <row r="6" spans="1:14" x14ac:dyDescent="0.25">
      <c r="A6" s="40"/>
      <c r="B6" s="53"/>
      <c r="C6" s="54"/>
      <c r="D6" s="75"/>
      <c r="E6" s="26"/>
      <c r="F6" s="50"/>
      <c r="G6" s="50"/>
      <c r="H6" s="46">
        <v>45962</v>
      </c>
      <c r="I6" s="3">
        <v>38411.49146433526</v>
      </c>
      <c r="J6" s="33">
        <f>I6*12</f>
        <v>460937.8975720231</v>
      </c>
      <c r="K6" s="6">
        <f>J6/$E$5</f>
        <v>42.981900183888762</v>
      </c>
      <c r="L6" s="8"/>
      <c r="M6" s="7"/>
      <c r="N6" s="5"/>
    </row>
    <row r="7" spans="1:14" x14ac:dyDescent="0.25">
      <c r="A7" s="64"/>
      <c r="C7" s="10"/>
      <c r="D7" s="61"/>
      <c r="E7" s="26"/>
      <c r="F7" s="50"/>
      <c r="G7" s="50"/>
      <c r="H7" s="50">
        <v>46327</v>
      </c>
      <c r="I7" s="3">
        <v>39563.834513017391</v>
      </c>
      <c r="J7" s="33">
        <f>I7*12</f>
        <v>474766.01415620872</v>
      </c>
      <c r="K7" s="6">
        <f>J7/$E$5</f>
        <v>44.271355292447659</v>
      </c>
      <c r="L7" s="3"/>
      <c r="M7" s="35"/>
      <c r="N7" s="8"/>
    </row>
    <row r="8" spans="1:14" x14ac:dyDescent="0.25">
      <c r="A8" s="64"/>
      <c r="B8" s="38"/>
      <c r="C8" s="10"/>
      <c r="D8" s="61"/>
      <c r="E8" s="26"/>
      <c r="F8" s="50"/>
      <c r="G8" s="50"/>
      <c r="H8" s="50"/>
      <c r="I8" s="3"/>
      <c r="J8" s="9"/>
      <c r="K8" s="56"/>
      <c r="L8" s="3"/>
      <c r="M8" s="35"/>
      <c r="N8" s="8"/>
    </row>
    <row r="9" spans="1:14" x14ac:dyDescent="0.25">
      <c r="A9" s="68"/>
      <c r="E9" s="26"/>
      <c r="F9" s="50"/>
      <c r="G9" s="50"/>
      <c r="H9" s="49"/>
      <c r="I9" s="3"/>
      <c r="J9" s="9"/>
      <c r="K9" s="56"/>
      <c r="L9" s="3"/>
      <c r="M9" s="35"/>
      <c r="N9" s="8"/>
    </row>
    <row r="10" spans="1:14" x14ac:dyDescent="0.25">
      <c r="A10" s="69"/>
      <c r="B10" s="58"/>
      <c r="C10" s="59" t="s">
        <v>49</v>
      </c>
      <c r="D10" s="61">
        <v>2024</v>
      </c>
      <c r="E10" s="26"/>
      <c r="F10" s="50"/>
      <c r="G10" s="50"/>
      <c r="H10" s="49"/>
      <c r="I10" s="3"/>
      <c r="J10" s="9"/>
      <c r="K10" s="56"/>
      <c r="L10" s="3"/>
      <c r="M10" s="35"/>
      <c r="N10" s="8"/>
    </row>
    <row r="11" spans="1:14" x14ac:dyDescent="0.25">
      <c r="A11" s="69"/>
      <c r="B11" s="58"/>
      <c r="C11" s="59" t="s">
        <v>50</v>
      </c>
      <c r="D11" s="61" t="s">
        <v>26</v>
      </c>
      <c r="E11" s="26"/>
      <c r="F11" s="50"/>
      <c r="G11" s="50"/>
      <c r="H11" s="49"/>
      <c r="I11" s="3"/>
      <c r="J11" s="9"/>
      <c r="K11" s="56"/>
      <c r="L11" s="3"/>
      <c r="M11" s="35"/>
      <c r="N11" s="8"/>
    </row>
    <row r="12" spans="1:14" x14ac:dyDescent="0.25">
      <c r="A12" s="70"/>
      <c r="B12" s="38"/>
      <c r="C12" s="10" t="s">
        <v>17</v>
      </c>
      <c r="D12" s="62">
        <v>0.95</v>
      </c>
      <c r="E12" s="26"/>
      <c r="F12" s="50"/>
      <c r="G12" s="50"/>
      <c r="H12" s="49"/>
      <c r="I12" s="3"/>
      <c r="J12" s="9"/>
      <c r="K12" s="56"/>
      <c r="L12" s="3"/>
      <c r="M12" s="35"/>
      <c r="N12" s="8"/>
    </row>
    <row r="13" spans="1:14" x14ac:dyDescent="0.25">
      <c r="A13" s="70"/>
      <c r="C13" s="10" t="s">
        <v>31</v>
      </c>
      <c r="D13" s="61" t="s">
        <v>23</v>
      </c>
      <c r="E13" s="26"/>
      <c r="F13" s="50"/>
      <c r="G13" s="50"/>
      <c r="H13" s="50"/>
      <c r="I13" s="60"/>
      <c r="J13" s="9"/>
      <c r="K13" s="9"/>
      <c r="L13" s="3"/>
      <c r="M13" s="35"/>
      <c r="N13" s="8"/>
    </row>
    <row r="14" spans="1:14" x14ac:dyDescent="0.25">
      <c r="A14" s="71"/>
      <c r="B14" s="38"/>
      <c r="C14" s="10" t="s">
        <v>19</v>
      </c>
      <c r="D14" s="61" t="s">
        <v>20</v>
      </c>
      <c r="E14" s="26"/>
      <c r="F14" s="50"/>
      <c r="G14" s="50"/>
      <c r="H14" s="50"/>
      <c r="I14" s="3"/>
      <c r="J14" s="9"/>
      <c r="K14" s="9"/>
      <c r="L14" s="3"/>
      <c r="M14" s="35"/>
      <c r="N14" s="8"/>
    </row>
    <row r="15" spans="1:14" x14ac:dyDescent="0.25">
      <c r="A15" s="71"/>
      <c r="B15" s="38"/>
      <c r="C15" s="10" t="s">
        <v>37</v>
      </c>
      <c r="D15" s="61" t="s">
        <v>38</v>
      </c>
      <c r="E15" s="26"/>
      <c r="F15" s="50"/>
      <c r="G15" s="50"/>
      <c r="H15" s="50"/>
      <c r="I15" s="3"/>
      <c r="J15" s="9"/>
      <c r="K15" s="9"/>
      <c r="L15" s="3"/>
      <c r="M15" s="35"/>
      <c r="N15" s="8"/>
    </row>
    <row r="16" spans="1:14" x14ac:dyDescent="0.25">
      <c r="A16" s="1"/>
      <c r="B16" s="8"/>
      <c r="C16" s="10" t="s">
        <v>22</v>
      </c>
      <c r="D16" s="61" t="s">
        <v>13</v>
      </c>
      <c r="E16" s="26"/>
      <c r="F16" s="50"/>
      <c r="G16" s="50"/>
      <c r="H16" s="50"/>
      <c r="I16" s="3"/>
      <c r="J16" s="9"/>
      <c r="K16" s="9"/>
      <c r="L16" s="3"/>
      <c r="M16" s="35"/>
      <c r="N16" s="8"/>
    </row>
    <row r="17" spans="1:14" s="13" customFormat="1" x14ac:dyDescent="0.25">
      <c r="A17" s="28"/>
      <c r="B17" s="27"/>
      <c r="C17" s="29"/>
      <c r="D17" s="76"/>
      <c r="E17" s="30"/>
      <c r="F17" s="51"/>
      <c r="G17" s="51"/>
      <c r="H17" s="51"/>
      <c r="I17" s="31"/>
      <c r="J17" s="32"/>
      <c r="K17" s="32"/>
      <c r="L17" s="31"/>
      <c r="M17" s="36"/>
      <c r="N17" s="27"/>
    </row>
    <row r="18" spans="1:14" x14ac:dyDescent="0.25">
      <c r="A18" s="1" t="s">
        <v>15</v>
      </c>
      <c r="B18" s="53">
        <v>300</v>
      </c>
      <c r="C18" s="54"/>
      <c r="D18" s="75"/>
      <c r="E18" s="26">
        <v>20273</v>
      </c>
      <c r="F18" s="50">
        <v>39630</v>
      </c>
      <c r="G18" s="50">
        <v>46691</v>
      </c>
      <c r="H18" s="50" t="s">
        <v>12</v>
      </c>
      <c r="I18" s="3">
        <v>70499.357499999998</v>
      </c>
      <c r="J18" s="33">
        <f>I18*12</f>
        <v>845992.29</v>
      </c>
      <c r="K18" s="6">
        <f>J18/$E$18</f>
        <v>41.730000000000004</v>
      </c>
      <c r="L18" s="8" t="s">
        <v>16</v>
      </c>
      <c r="M18" s="14">
        <v>9.0910313901345297E-2</v>
      </c>
      <c r="N18" s="5"/>
    </row>
    <row r="19" spans="1:14" x14ac:dyDescent="0.25">
      <c r="A19" s="40"/>
      <c r="B19" s="53"/>
      <c r="C19" s="54"/>
      <c r="D19" s="75"/>
      <c r="E19" s="26"/>
      <c r="F19" s="50"/>
      <c r="G19" s="50"/>
      <c r="H19" s="46">
        <v>45962</v>
      </c>
      <c r="I19" s="3">
        <v>72614.338535664734</v>
      </c>
      <c r="J19" s="33">
        <f t="shared" ref="J19:J20" si="0">I19*12</f>
        <v>871372.06242797687</v>
      </c>
      <c r="K19" s="6">
        <f>J19/$E$18</f>
        <v>42.981900183888762</v>
      </c>
      <c r="L19" s="8"/>
      <c r="M19" s="7"/>
      <c r="N19" s="5"/>
    </row>
    <row r="20" spans="1:14" x14ac:dyDescent="0.25">
      <c r="A20" s="64"/>
      <c r="C20" s="10"/>
      <c r="D20" s="61"/>
      <c r="E20" s="26"/>
      <c r="F20" s="50"/>
      <c r="G20" s="50"/>
      <c r="H20" s="50">
        <v>46327</v>
      </c>
      <c r="I20" s="3">
        <v>74792.765486982607</v>
      </c>
      <c r="J20" s="33">
        <f t="shared" si="0"/>
        <v>897513.18584379135</v>
      </c>
      <c r="K20" s="6">
        <f>J20/$E$18</f>
        <v>44.271355292447659</v>
      </c>
      <c r="L20" s="3"/>
      <c r="M20" s="35"/>
      <c r="N20" s="8"/>
    </row>
    <row r="21" spans="1:14" x14ac:dyDescent="0.25">
      <c r="A21" s="64"/>
      <c r="C21" s="10"/>
      <c r="D21" s="61"/>
      <c r="E21" s="26"/>
      <c r="F21" s="50"/>
      <c r="G21" s="50"/>
      <c r="H21" s="50"/>
      <c r="I21" s="3"/>
      <c r="J21" s="9"/>
      <c r="K21" s="56"/>
      <c r="L21" s="3"/>
      <c r="M21" s="35"/>
      <c r="N21" s="8"/>
    </row>
    <row r="22" spans="1:14" x14ac:dyDescent="0.25">
      <c r="A22" s="68"/>
      <c r="C22" s="59" t="s">
        <v>49</v>
      </c>
      <c r="D22" s="61">
        <v>2024</v>
      </c>
      <c r="E22" s="26"/>
      <c r="F22" s="50"/>
      <c r="G22" s="50"/>
      <c r="H22" s="49"/>
      <c r="I22" s="3"/>
      <c r="J22" s="9"/>
      <c r="K22" s="56"/>
      <c r="L22" s="3"/>
      <c r="M22" s="35"/>
      <c r="N22" s="8"/>
    </row>
    <row r="23" spans="1:14" x14ac:dyDescent="0.25">
      <c r="A23" s="40"/>
      <c r="C23" s="59" t="s">
        <v>50</v>
      </c>
      <c r="D23" s="61" t="s">
        <v>26</v>
      </c>
      <c r="E23" s="26"/>
      <c r="F23" s="50"/>
      <c r="G23" s="50"/>
      <c r="H23" s="49"/>
      <c r="I23" s="3"/>
      <c r="J23" s="9"/>
      <c r="K23" s="56"/>
      <c r="L23" s="3"/>
      <c r="M23" s="35"/>
      <c r="N23" s="8"/>
    </row>
    <row r="24" spans="1:14" x14ac:dyDescent="0.25">
      <c r="A24" s="40"/>
      <c r="C24" s="10" t="s">
        <v>17</v>
      </c>
      <c r="D24" s="62">
        <v>0.95</v>
      </c>
      <c r="E24" s="26"/>
      <c r="F24" s="50"/>
      <c r="G24" s="50"/>
      <c r="H24" s="50"/>
      <c r="I24" s="3"/>
      <c r="J24" s="9"/>
      <c r="K24" s="9"/>
      <c r="L24" s="3"/>
      <c r="M24" s="35"/>
      <c r="N24" s="8"/>
    </row>
    <row r="25" spans="1:14" s="13" customFormat="1" x14ac:dyDescent="0.25">
      <c r="A25" s="28"/>
      <c r="B25" s="27"/>
      <c r="C25" s="29"/>
      <c r="D25" s="76"/>
      <c r="E25" s="30"/>
      <c r="F25" s="51"/>
      <c r="G25" s="51"/>
      <c r="H25" s="51"/>
      <c r="I25" s="31"/>
      <c r="J25" s="32"/>
      <c r="K25" s="32"/>
      <c r="L25" s="31"/>
      <c r="M25" s="36"/>
      <c r="N25" s="27"/>
    </row>
    <row r="26" spans="1:14" x14ac:dyDescent="0.25">
      <c r="A26" s="1" t="s">
        <v>25</v>
      </c>
      <c r="B26" s="53">
        <v>700</v>
      </c>
      <c r="C26" s="54"/>
      <c r="D26" s="75"/>
      <c r="E26" s="26">
        <v>6429</v>
      </c>
      <c r="F26" s="50">
        <v>40695</v>
      </c>
      <c r="G26" s="50">
        <v>46752</v>
      </c>
      <c r="H26" s="50" t="s">
        <v>12</v>
      </c>
      <c r="I26" s="3">
        <v>16072.5</v>
      </c>
      <c r="J26" s="33">
        <f>I26*12</f>
        <v>192870</v>
      </c>
      <c r="K26" s="6">
        <f>J26/$E$26</f>
        <v>30</v>
      </c>
      <c r="L26" s="8" t="s">
        <v>16</v>
      </c>
      <c r="M26" s="14">
        <v>2.8829596412556054E-2</v>
      </c>
      <c r="N26" s="5"/>
    </row>
    <row r="27" spans="1:14" x14ac:dyDescent="0.25">
      <c r="A27" s="40"/>
      <c r="B27" s="53"/>
      <c r="C27" s="54"/>
      <c r="D27" s="75"/>
      <c r="E27" s="26"/>
      <c r="F27" s="50"/>
      <c r="G27" s="50"/>
      <c r="H27" s="46">
        <v>45901</v>
      </c>
      <c r="I27" s="3">
        <v>16554.68</v>
      </c>
      <c r="J27" s="33">
        <f t="shared" ref="J27:J29" si="1">I27*12</f>
        <v>198656.16</v>
      </c>
      <c r="K27" s="6">
        <f>J27/$E$26</f>
        <v>30.900009332711154</v>
      </c>
      <c r="L27" s="8"/>
      <c r="M27" s="7"/>
      <c r="N27" s="5"/>
    </row>
    <row r="28" spans="1:14" x14ac:dyDescent="0.25">
      <c r="A28" s="64"/>
      <c r="C28" s="10"/>
      <c r="D28" s="61"/>
      <c r="E28" s="26"/>
      <c r="F28" s="50"/>
      <c r="G28" s="50"/>
      <c r="H28" s="50">
        <v>46266</v>
      </c>
      <c r="I28" s="3">
        <v>17052.919999999998</v>
      </c>
      <c r="J28" s="33">
        <f t="shared" si="1"/>
        <v>204635.03999999998</v>
      </c>
      <c r="K28" s="6">
        <f>J28/$E$26</f>
        <v>31.829995333644419</v>
      </c>
      <c r="L28" s="3"/>
      <c r="M28" s="35"/>
      <c r="N28" s="8"/>
    </row>
    <row r="29" spans="1:14" x14ac:dyDescent="0.25">
      <c r="A29" s="40"/>
      <c r="C29" s="10"/>
      <c r="D29" s="61"/>
      <c r="E29" s="26"/>
      <c r="F29" s="50"/>
      <c r="G29" s="50"/>
      <c r="H29" s="50">
        <v>46631</v>
      </c>
      <c r="I29" s="3">
        <v>17561.89</v>
      </c>
      <c r="J29" s="33">
        <f t="shared" si="1"/>
        <v>210742.68</v>
      </c>
      <c r="K29" s="6">
        <f>J29/$E$26</f>
        <v>32.780009332711153</v>
      </c>
      <c r="L29" s="3"/>
      <c r="M29" s="35"/>
      <c r="N29" s="8"/>
    </row>
    <row r="30" spans="1:14" x14ac:dyDescent="0.25">
      <c r="A30" s="40"/>
      <c r="C30" s="10"/>
      <c r="D30" s="61"/>
      <c r="E30" s="26"/>
      <c r="F30" s="50"/>
      <c r="G30" s="50"/>
      <c r="H30" s="49"/>
      <c r="I30" s="3"/>
      <c r="J30" s="9"/>
      <c r="K30" s="9"/>
      <c r="L30" s="3"/>
      <c r="M30" s="35"/>
      <c r="N30" s="8"/>
    </row>
    <row r="31" spans="1:14" x14ac:dyDescent="0.25">
      <c r="A31" s="40"/>
      <c r="E31" s="26"/>
      <c r="F31" s="50"/>
      <c r="G31" s="50"/>
      <c r="H31" s="49"/>
      <c r="I31" s="3"/>
      <c r="J31" s="9"/>
      <c r="K31" s="9"/>
      <c r="L31" s="3"/>
      <c r="M31" s="35"/>
      <c r="N31" s="8"/>
    </row>
    <row r="32" spans="1:14" x14ac:dyDescent="0.25">
      <c r="A32" s="40"/>
      <c r="C32" s="59" t="s">
        <v>49</v>
      </c>
      <c r="D32" s="61">
        <v>2024</v>
      </c>
      <c r="E32" s="26"/>
      <c r="F32" s="50"/>
      <c r="G32" s="50"/>
      <c r="H32" s="49"/>
      <c r="I32" s="60"/>
      <c r="J32" s="9"/>
      <c r="K32" s="9"/>
      <c r="L32" s="3"/>
      <c r="M32" s="35"/>
      <c r="N32" s="8"/>
    </row>
    <row r="33" spans="1:14" x14ac:dyDescent="0.25">
      <c r="A33" s="40"/>
      <c r="C33" s="59" t="s">
        <v>50</v>
      </c>
      <c r="D33" s="61" t="s">
        <v>26</v>
      </c>
      <c r="E33" s="26"/>
      <c r="F33" s="50"/>
      <c r="G33" s="50"/>
      <c r="H33" s="49"/>
      <c r="I33" s="60"/>
      <c r="J33" s="9"/>
      <c r="K33" s="9"/>
      <c r="L33" s="3"/>
      <c r="M33" s="35"/>
      <c r="N33" s="8"/>
    </row>
    <row r="34" spans="1:14" x14ac:dyDescent="0.25">
      <c r="A34" s="40"/>
      <c r="C34" s="10" t="s">
        <v>17</v>
      </c>
      <c r="D34" s="62">
        <v>0.95</v>
      </c>
      <c r="E34" s="26"/>
      <c r="F34" s="50"/>
      <c r="G34" s="50"/>
      <c r="H34" s="50"/>
      <c r="I34" s="3"/>
      <c r="J34" s="9"/>
      <c r="K34" s="9"/>
      <c r="L34" s="3"/>
      <c r="M34" s="35"/>
      <c r="N34" s="8"/>
    </row>
    <row r="35" spans="1:14" x14ac:dyDescent="0.25">
      <c r="A35" s="40"/>
      <c r="C35" s="10" t="s">
        <v>46</v>
      </c>
      <c r="D35" s="61" t="s">
        <v>41</v>
      </c>
      <c r="E35" s="26"/>
      <c r="F35" s="50"/>
      <c r="G35" s="50"/>
      <c r="H35" s="50"/>
      <c r="I35" s="3"/>
      <c r="J35" s="9"/>
      <c r="K35" s="9"/>
      <c r="L35" s="3"/>
      <c r="M35" s="35"/>
      <c r="N35" s="8"/>
    </row>
    <row r="36" spans="1:14" x14ac:dyDescent="0.25">
      <c r="A36" s="40"/>
      <c r="C36" s="10" t="s">
        <v>48</v>
      </c>
      <c r="D36" s="62" t="s">
        <v>42</v>
      </c>
      <c r="E36" s="26"/>
      <c r="F36" s="50"/>
      <c r="G36" s="50"/>
      <c r="H36" s="50"/>
      <c r="I36" s="3"/>
      <c r="J36" s="9"/>
      <c r="K36" s="9"/>
      <c r="L36" s="3"/>
      <c r="M36" s="35"/>
      <c r="N36" s="8"/>
    </row>
    <row r="37" spans="1:14" x14ac:dyDescent="0.25">
      <c r="A37" s="40"/>
      <c r="C37" s="10" t="s">
        <v>18</v>
      </c>
      <c r="D37" s="61" t="s">
        <v>28</v>
      </c>
      <c r="E37" s="26"/>
      <c r="F37" s="50"/>
      <c r="G37" s="50"/>
      <c r="H37" s="50"/>
      <c r="I37" s="3"/>
      <c r="J37" s="9"/>
      <c r="K37" s="9"/>
      <c r="L37" s="3"/>
      <c r="M37" s="35"/>
      <c r="N37" s="8"/>
    </row>
    <row r="38" spans="1:14" x14ac:dyDescent="0.25">
      <c r="A38" s="40"/>
      <c r="C38" s="10" t="s">
        <v>37</v>
      </c>
      <c r="D38" s="61" t="s">
        <v>39</v>
      </c>
      <c r="E38" s="26"/>
      <c r="F38" s="50"/>
      <c r="G38" s="50"/>
      <c r="H38" s="50"/>
      <c r="I38" s="3"/>
      <c r="J38" s="9"/>
      <c r="K38" s="9"/>
      <c r="L38" s="3"/>
      <c r="M38" s="35"/>
      <c r="N38" s="8"/>
    </row>
    <row r="39" spans="1:14" s="13" customFormat="1" x14ac:dyDescent="0.25">
      <c r="A39" s="28"/>
      <c r="B39" s="27"/>
      <c r="C39" s="29"/>
      <c r="D39" s="76"/>
      <c r="E39" s="30"/>
      <c r="F39" s="51"/>
      <c r="G39" s="51"/>
      <c r="H39" s="51"/>
      <c r="I39" s="31"/>
      <c r="J39" s="32"/>
      <c r="K39" s="32"/>
      <c r="L39" s="31"/>
      <c r="M39" s="36"/>
      <c r="N39" s="27"/>
    </row>
    <row r="40" spans="1:14" x14ac:dyDescent="0.25">
      <c r="A40" s="1" t="s">
        <v>21</v>
      </c>
      <c r="B40" s="53">
        <v>750</v>
      </c>
      <c r="C40" s="54"/>
      <c r="D40" s="75"/>
      <c r="E40" s="26">
        <v>3813</v>
      </c>
      <c r="F40" s="50">
        <v>44593</v>
      </c>
      <c r="G40" s="50">
        <v>47514</v>
      </c>
      <c r="H40" s="50" t="s">
        <v>12</v>
      </c>
      <c r="I40" s="3">
        <v>11805.28</v>
      </c>
      <c r="J40" s="33">
        <f>I40*12</f>
        <v>141663.36000000002</v>
      </c>
      <c r="K40" s="6">
        <f>J40/$E$40</f>
        <v>37.152730133752954</v>
      </c>
      <c r="L40" s="8" t="s">
        <v>16</v>
      </c>
      <c r="M40" s="14">
        <v>1.7098654708520178E-2</v>
      </c>
      <c r="N40" s="5"/>
    </row>
    <row r="41" spans="1:14" x14ac:dyDescent="0.25">
      <c r="A41" s="40"/>
      <c r="B41" s="53"/>
      <c r="C41" s="54"/>
      <c r="D41" s="75"/>
      <c r="E41" s="26"/>
      <c r="F41" s="50"/>
      <c r="G41" s="50"/>
      <c r="H41" s="46">
        <v>46054</v>
      </c>
      <c r="I41" s="3">
        <v>12159.43</v>
      </c>
      <c r="J41" s="33">
        <f t="shared" ref="J41:J43" si="2">I41*12</f>
        <v>145913.16</v>
      </c>
      <c r="K41" s="6">
        <f>J41/$E$40</f>
        <v>38.267285601888275</v>
      </c>
      <c r="L41" s="8"/>
      <c r="M41" s="7"/>
      <c r="N41" s="5"/>
    </row>
    <row r="42" spans="1:14" x14ac:dyDescent="0.25">
      <c r="A42" s="64"/>
      <c r="C42" s="10"/>
      <c r="D42" s="61"/>
      <c r="E42" s="26"/>
      <c r="F42" s="50"/>
      <c r="G42" s="50"/>
      <c r="H42" s="50">
        <v>46419</v>
      </c>
      <c r="I42" s="3">
        <v>12524.22</v>
      </c>
      <c r="J42" s="33">
        <f t="shared" si="2"/>
        <v>150290.63999999998</v>
      </c>
      <c r="K42" s="6">
        <f>J42/$E$40</f>
        <v>39.415326514555467</v>
      </c>
      <c r="L42" s="3"/>
      <c r="M42" s="35"/>
      <c r="N42" s="8"/>
    </row>
    <row r="43" spans="1:14" x14ac:dyDescent="0.25">
      <c r="A43" s="40"/>
      <c r="C43" s="10"/>
      <c r="D43" s="61"/>
      <c r="E43" s="26"/>
      <c r="F43" s="50"/>
      <c r="G43" s="50"/>
      <c r="H43" s="46">
        <v>46784</v>
      </c>
      <c r="I43" s="3">
        <v>12899.94</v>
      </c>
      <c r="J43" s="33">
        <f t="shared" si="2"/>
        <v>154799.28</v>
      </c>
      <c r="K43" s="6">
        <f>J43/$E$40</f>
        <v>40.597765538945708</v>
      </c>
      <c r="L43" s="3"/>
      <c r="M43" s="35"/>
      <c r="N43" s="8"/>
    </row>
    <row r="44" spans="1:14" x14ac:dyDescent="0.25">
      <c r="A44" s="40"/>
      <c r="C44" s="10"/>
      <c r="D44" s="61"/>
      <c r="E44" s="26"/>
      <c r="F44" s="50"/>
      <c r="G44" s="50"/>
      <c r="H44" s="50">
        <v>47150</v>
      </c>
      <c r="I44" s="3">
        <v>13286.94</v>
      </c>
      <c r="J44" s="33">
        <f>I44*12</f>
        <v>159443.28</v>
      </c>
      <c r="K44" s="6">
        <f>J44/$E$40</f>
        <v>41.815704169944922</v>
      </c>
      <c r="L44" s="3"/>
      <c r="M44" s="35"/>
      <c r="N44" s="8"/>
    </row>
    <row r="45" spans="1:14" x14ac:dyDescent="0.25">
      <c r="A45" s="40"/>
      <c r="C45" s="59" t="s">
        <v>49</v>
      </c>
      <c r="D45" s="61">
        <v>2021</v>
      </c>
      <c r="E45" s="26"/>
      <c r="F45" s="50"/>
      <c r="G45" s="50"/>
      <c r="H45" s="49"/>
      <c r="I45" s="3"/>
      <c r="J45" s="9"/>
      <c r="K45" s="56"/>
      <c r="L45" s="3"/>
      <c r="M45" s="35"/>
      <c r="N45" s="8"/>
    </row>
    <row r="46" spans="1:14" x14ac:dyDescent="0.25">
      <c r="A46" s="40"/>
      <c r="C46" s="59" t="s">
        <v>50</v>
      </c>
      <c r="D46" s="61" t="s">
        <v>51</v>
      </c>
      <c r="E46" s="26"/>
      <c r="F46" s="50"/>
      <c r="G46" s="50"/>
      <c r="H46" s="49"/>
      <c r="I46" s="3"/>
      <c r="J46" s="9"/>
      <c r="K46" s="56"/>
      <c r="L46" s="3"/>
      <c r="M46" s="35"/>
      <c r="N46" s="8"/>
    </row>
    <row r="47" spans="1:14" x14ac:dyDescent="0.25">
      <c r="A47" s="40"/>
      <c r="C47" s="10" t="s">
        <v>17</v>
      </c>
      <c r="D47" s="62">
        <v>0.95</v>
      </c>
      <c r="E47" s="26"/>
      <c r="F47" s="50"/>
      <c r="G47" s="50"/>
      <c r="H47" s="49"/>
      <c r="I47" s="3"/>
      <c r="J47" s="9"/>
      <c r="K47" s="56"/>
      <c r="L47" s="3"/>
      <c r="M47" s="35"/>
      <c r="N47" s="8"/>
    </row>
    <row r="48" spans="1:14" x14ac:dyDescent="0.25">
      <c r="A48" s="40"/>
      <c r="C48" s="10" t="s">
        <v>18</v>
      </c>
      <c r="D48" s="61" t="s">
        <v>27</v>
      </c>
      <c r="E48" s="26"/>
      <c r="F48" s="50"/>
      <c r="G48" s="50"/>
      <c r="H48" s="50"/>
      <c r="I48" s="60"/>
      <c r="J48" s="9"/>
      <c r="K48" s="9"/>
      <c r="L48" s="3"/>
      <c r="M48" s="35"/>
      <c r="N48" s="8"/>
    </row>
    <row r="49" spans="1:14" x14ac:dyDescent="0.25">
      <c r="A49" s="40"/>
      <c r="C49" s="10" t="s">
        <v>19</v>
      </c>
      <c r="D49" s="61" t="s">
        <v>24</v>
      </c>
      <c r="E49" s="26"/>
      <c r="F49" s="50"/>
      <c r="G49" s="50"/>
      <c r="H49" s="50"/>
      <c r="I49" s="3"/>
      <c r="J49" s="9"/>
      <c r="K49" s="9"/>
      <c r="L49" s="3"/>
      <c r="M49" s="35"/>
      <c r="N49" s="8"/>
    </row>
    <row r="50" spans="1:14" x14ac:dyDescent="0.25">
      <c r="A50" s="40"/>
      <c r="C50" s="10" t="s">
        <v>32</v>
      </c>
      <c r="D50" s="61" t="s">
        <v>36</v>
      </c>
      <c r="E50" s="26"/>
      <c r="F50" s="50"/>
      <c r="G50" s="50"/>
      <c r="H50" s="50"/>
      <c r="I50" s="3"/>
      <c r="J50" s="9"/>
      <c r="K50" s="9"/>
      <c r="L50" s="3"/>
      <c r="M50" s="35"/>
      <c r="N50" s="8"/>
    </row>
    <row r="51" spans="1:14" x14ac:dyDescent="0.25">
      <c r="A51" s="1"/>
      <c r="B51" s="8"/>
      <c r="C51" s="10" t="s">
        <v>22</v>
      </c>
      <c r="D51" s="61" t="s">
        <v>34</v>
      </c>
      <c r="E51" s="26"/>
      <c r="F51" s="50"/>
      <c r="G51" s="50"/>
      <c r="H51" s="50"/>
      <c r="I51" s="3"/>
      <c r="J51" s="9"/>
      <c r="K51" s="9"/>
      <c r="L51" s="3"/>
      <c r="M51" s="35"/>
      <c r="N51" s="8"/>
    </row>
    <row r="52" spans="1:14" s="13" customFormat="1" x14ac:dyDescent="0.25">
      <c r="A52" s="28"/>
      <c r="B52" s="27"/>
      <c r="C52" s="29"/>
      <c r="D52" s="76"/>
      <c r="E52" s="30"/>
      <c r="F52" s="51"/>
      <c r="G52" s="51"/>
      <c r="H52" s="51"/>
      <c r="I52" s="31"/>
      <c r="J52" s="32"/>
      <c r="K52" s="32"/>
      <c r="L52" s="31"/>
      <c r="M52" s="36"/>
      <c r="N52" s="27"/>
    </row>
    <row r="53" spans="1:14" x14ac:dyDescent="0.25">
      <c r="A53" s="1" t="s">
        <v>45</v>
      </c>
      <c r="B53" s="53">
        <v>800</v>
      </c>
      <c r="C53" s="54"/>
      <c r="D53" s="75"/>
      <c r="E53" s="26">
        <v>12746</v>
      </c>
      <c r="F53" s="57">
        <v>40772</v>
      </c>
      <c r="G53" s="57">
        <v>46356</v>
      </c>
      <c r="H53" s="50" t="s">
        <v>12</v>
      </c>
      <c r="I53" s="3">
        <v>39462.379999999997</v>
      </c>
      <c r="J53" s="33">
        <f>I53*12</f>
        <v>473548.55999999994</v>
      </c>
      <c r="K53" s="6">
        <f>J53/$E$53</f>
        <v>37.1527192844814</v>
      </c>
      <c r="L53" s="8" t="s">
        <v>16</v>
      </c>
      <c r="M53" s="14">
        <v>5.7156950672645743E-2</v>
      </c>
      <c r="N53" s="5"/>
    </row>
    <row r="54" spans="1:14" x14ac:dyDescent="0.25">
      <c r="A54" s="64"/>
      <c r="B54" s="8"/>
      <c r="C54" s="10"/>
      <c r="D54" s="61"/>
      <c r="E54" s="26"/>
      <c r="F54" s="50"/>
      <c r="G54" s="50"/>
      <c r="H54" s="46">
        <v>46266</v>
      </c>
      <c r="I54" s="3">
        <v>40646.25</v>
      </c>
      <c r="J54" s="33">
        <f t="shared" ref="J54" si="3">I54*12</f>
        <v>487755</v>
      </c>
      <c r="K54" s="6">
        <f>J54/$E$53</f>
        <v>38.267299544955279</v>
      </c>
      <c r="L54" s="3"/>
      <c r="M54" s="35"/>
      <c r="N54" s="8"/>
    </row>
    <row r="55" spans="1:14" x14ac:dyDescent="0.25">
      <c r="A55" s="64"/>
      <c r="B55" s="8"/>
      <c r="C55" s="10"/>
      <c r="D55" s="61"/>
      <c r="E55" s="26"/>
      <c r="F55" s="50"/>
      <c r="G55" s="50"/>
      <c r="H55" s="50"/>
      <c r="I55" s="3"/>
      <c r="J55" s="33"/>
      <c r="K55" s="6"/>
      <c r="L55" s="3"/>
      <c r="M55" s="35"/>
      <c r="N55" s="8"/>
    </row>
    <row r="56" spans="1:14" x14ac:dyDescent="0.25">
      <c r="A56" s="64"/>
      <c r="B56" s="8"/>
      <c r="C56" s="10"/>
      <c r="D56" s="61"/>
      <c r="E56" s="26"/>
      <c r="F56" s="50"/>
      <c r="G56" s="50"/>
      <c r="H56" s="50"/>
      <c r="I56" s="3"/>
      <c r="J56" s="63"/>
      <c r="K56" s="9"/>
      <c r="L56" s="3"/>
      <c r="M56" s="35"/>
      <c r="N56" s="8"/>
    </row>
    <row r="57" spans="1:14" x14ac:dyDescent="0.25">
      <c r="A57" s="64"/>
      <c r="B57" s="8"/>
      <c r="C57" s="10"/>
      <c r="D57" s="61"/>
      <c r="E57" s="26"/>
      <c r="F57" s="50"/>
      <c r="G57" s="50"/>
      <c r="H57" s="50"/>
      <c r="I57" s="3"/>
      <c r="J57" s="9"/>
      <c r="K57" s="9"/>
      <c r="L57" s="3"/>
      <c r="M57" s="35"/>
      <c r="N57" s="8"/>
    </row>
    <row r="58" spans="1:14" x14ac:dyDescent="0.25">
      <c r="A58" s="64"/>
      <c r="B58" s="8"/>
      <c r="C58" s="10" t="s">
        <v>49</v>
      </c>
      <c r="D58" s="67">
        <v>2022</v>
      </c>
      <c r="E58" s="26"/>
      <c r="F58" s="50"/>
      <c r="G58" s="50"/>
      <c r="H58" s="50"/>
      <c r="I58" s="3"/>
      <c r="J58" s="9"/>
      <c r="K58" s="9"/>
      <c r="L58" s="3"/>
      <c r="M58" s="35"/>
      <c r="N58" s="8"/>
    </row>
    <row r="59" spans="1:14" x14ac:dyDescent="0.25">
      <c r="A59" s="64"/>
      <c r="B59" s="8"/>
      <c r="C59" s="10" t="s">
        <v>50</v>
      </c>
      <c r="D59" s="67" t="s">
        <v>53</v>
      </c>
      <c r="E59" s="26"/>
      <c r="F59" s="50"/>
      <c r="G59" s="50"/>
      <c r="H59" s="50"/>
      <c r="I59" s="3"/>
      <c r="J59" s="9"/>
      <c r="K59" s="9"/>
      <c r="L59" s="3"/>
      <c r="M59" s="35"/>
      <c r="N59" s="8"/>
    </row>
    <row r="60" spans="1:14" x14ac:dyDescent="0.25">
      <c r="A60" s="64"/>
      <c r="B60" s="8"/>
      <c r="C60" s="10" t="s">
        <v>17</v>
      </c>
      <c r="D60" s="62">
        <v>1</v>
      </c>
      <c r="E60" s="26"/>
      <c r="F60" s="50"/>
      <c r="G60" s="50"/>
      <c r="H60" s="50"/>
      <c r="I60" s="3"/>
      <c r="J60" s="9"/>
      <c r="K60" s="9"/>
      <c r="L60" s="3"/>
      <c r="M60" s="35"/>
      <c r="N60" s="8"/>
    </row>
    <row r="61" spans="1:14" x14ac:dyDescent="0.25">
      <c r="A61" s="64"/>
      <c r="B61" s="8"/>
      <c r="C61" s="10" t="s">
        <v>46</v>
      </c>
      <c r="D61" s="61" t="s">
        <v>54</v>
      </c>
      <c r="E61" s="26"/>
      <c r="F61" s="50"/>
      <c r="G61" s="50"/>
      <c r="H61" s="50"/>
      <c r="I61" s="3"/>
      <c r="J61" s="9"/>
      <c r="K61" s="9"/>
      <c r="L61" s="3"/>
      <c r="M61" s="35"/>
      <c r="N61" s="8"/>
    </row>
    <row r="62" spans="1:14" x14ac:dyDescent="0.25">
      <c r="A62" s="64"/>
      <c r="B62" s="8"/>
      <c r="C62" s="10" t="s">
        <v>48</v>
      </c>
      <c r="D62" s="61" t="s">
        <v>47</v>
      </c>
      <c r="E62" s="26"/>
      <c r="F62" s="50"/>
      <c r="G62" s="50"/>
      <c r="H62" s="50"/>
      <c r="I62" s="3"/>
      <c r="J62" s="9"/>
      <c r="K62" s="9"/>
      <c r="L62" s="3"/>
      <c r="M62" s="35"/>
      <c r="N62" s="8"/>
    </row>
    <row r="63" spans="1:14" x14ac:dyDescent="0.25">
      <c r="A63" s="64"/>
      <c r="B63" s="8"/>
      <c r="C63" s="10" t="s">
        <v>57</v>
      </c>
      <c r="D63" s="61" t="s">
        <v>58</v>
      </c>
      <c r="E63" s="26"/>
      <c r="F63" s="50"/>
      <c r="G63" s="50"/>
      <c r="H63" s="50"/>
      <c r="I63" s="3"/>
      <c r="J63" s="9"/>
      <c r="K63" s="9"/>
      <c r="L63" s="3"/>
      <c r="M63" s="35"/>
      <c r="N63" s="8"/>
    </row>
    <row r="64" spans="1:14" x14ac:dyDescent="0.25">
      <c r="A64" s="64"/>
      <c r="B64" s="8"/>
      <c r="C64" s="10" t="s">
        <v>22</v>
      </c>
      <c r="D64" s="61" t="s">
        <v>56</v>
      </c>
      <c r="E64" s="26"/>
      <c r="F64" s="50"/>
      <c r="G64" s="50"/>
      <c r="H64" s="50"/>
      <c r="I64" s="3"/>
      <c r="J64" s="9"/>
      <c r="K64" s="9"/>
      <c r="L64" s="3"/>
      <c r="M64" s="35"/>
      <c r="N64" s="8"/>
    </row>
    <row r="65" spans="1:14" s="13" customFormat="1" x14ac:dyDescent="0.25">
      <c r="A65" s="28" t="s">
        <v>55</v>
      </c>
      <c r="B65" s="27"/>
      <c r="C65" s="29"/>
      <c r="D65" s="76"/>
      <c r="E65" s="30"/>
      <c r="F65" s="51"/>
      <c r="G65" s="51"/>
      <c r="H65" s="51"/>
      <c r="I65" s="31"/>
      <c r="J65" s="32"/>
      <c r="K65" s="32"/>
      <c r="L65" s="31"/>
      <c r="M65" s="36"/>
      <c r="N65" s="27"/>
    </row>
    <row r="66" spans="1:14" x14ac:dyDescent="0.25">
      <c r="A66" s="1" t="s">
        <v>29</v>
      </c>
      <c r="B66" s="53">
        <v>1400</v>
      </c>
      <c r="C66" s="54"/>
      <c r="D66" s="75"/>
      <c r="E66" s="26">
        <v>1246</v>
      </c>
      <c r="F66" s="50">
        <v>40724</v>
      </c>
      <c r="G66" s="50">
        <v>46173</v>
      </c>
      <c r="H66" s="50" t="s">
        <v>12</v>
      </c>
      <c r="I66" s="3">
        <v>3218.83</v>
      </c>
      <c r="J66" s="33">
        <f>I66*12</f>
        <v>38625.96</v>
      </c>
      <c r="K66" s="6">
        <f>J66/$E$66</f>
        <v>30.999967897271269</v>
      </c>
      <c r="L66" s="8" t="s">
        <v>16</v>
      </c>
      <c r="M66" s="14">
        <v>5.5874439461883404E-3</v>
      </c>
      <c r="N66" s="5">
        <v>547992</v>
      </c>
    </row>
    <row r="67" spans="1:14" x14ac:dyDescent="0.25">
      <c r="A67" s="40"/>
      <c r="B67" s="53"/>
      <c r="C67" s="54"/>
      <c r="D67" s="75"/>
      <c r="E67" s="26"/>
      <c r="F67" s="50"/>
      <c r="G67" s="50"/>
      <c r="H67" s="46">
        <v>46174</v>
      </c>
      <c r="I67" s="3">
        <v>3315.4</v>
      </c>
      <c r="J67" s="33">
        <f>I67*12</f>
        <v>39784.800000000003</v>
      </c>
      <c r="K67" s="6">
        <f>J67/$E$66</f>
        <v>31.930016051364369</v>
      </c>
      <c r="L67" s="8"/>
      <c r="M67" s="7"/>
      <c r="N67" s="5"/>
    </row>
    <row r="68" spans="1:14" x14ac:dyDescent="0.25">
      <c r="A68" s="40"/>
      <c r="B68" s="53"/>
      <c r="C68" s="54"/>
      <c r="D68" s="75"/>
      <c r="E68" s="26"/>
      <c r="F68" s="50"/>
      <c r="G68" s="50"/>
      <c r="H68" s="46">
        <v>46539</v>
      </c>
      <c r="I68" s="3">
        <v>3415.08</v>
      </c>
      <c r="J68" s="33">
        <f t="shared" ref="J68:J71" si="4">I68*12</f>
        <v>40980.959999999999</v>
      </c>
      <c r="K68" s="6">
        <f t="shared" ref="K68:K71" si="5">J68/$E$66</f>
        <v>32.890016051364363</v>
      </c>
      <c r="L68" s="8"/>
      <c r="M68" s="7"/>
      <c r="N68" s="5"/>
    </row>
    <row r="69" spans="1:14" x14ac:dyDescent="0.25">
      <c r="A69" s="40"/>
      <c r="B69" s="53"/>
      <c r="C69" s="54"/>
      <c r="D69" s="75"/>
      <c r="E69" s="26"/>
      <c r="F69" s="50"/>
      <c r="G69" s="50"/>
      <c r="H69" s="46">
        <v>46905</v>
      </c>
      <c r="I69" s="3">
        <v>3517.87</v>
      </c>
      <c r="J69" s="33">
        <f t="shared" si="4"/>
        <v>42214.44</v>
      </c>
      <c r="K69" s="6">
        <f t="shared" si="5"/>
        <v>33.879967897271271</v>
      </c>
      <c r="L69" s="8"/>
      <c r="M69" s="7"/>
      <c r="N69" s="5"/>
    </row>
    <row r="70" spans="1:14" x14ac:dyDescent="0.25">
      <c r="A70" s="40"/>
      <c r="B70" s="53"/>
      <c r="C70" s="54"/>
      <c r="D70" s="75"/>
      <c r="E70" s="26"/>
      <c r="F70" s="50"/>
      <c r="G70" s="50"/>
      <c r="H70" s="46">
        <v>47270</v>
      </c>
      <c r="I70" s="3">
        <v>3623.78</v>
      </c>
      <c r="J70" s="33">
        <f t="shared" si="4"/>
        <v>43485.36</v>
      </c>
      <c r="K70" s="6">
        <f t="shared" si="5"/>
        <v>34.899967897271267</v>
      </c>
      <c r="L70" s="8"/>
      <c r="M70" s="7"/>
      <c r="N70" s="5"/>
    </row>
    <row r="71" spans="1:14" x14ac:dyDescent="0.25">
      <c r="A71" s="40"/>
      <c r="B71" s="53"/>
      <c r="C71" s="54"/>
      <c r="D71" s="75"/>
      <c r="E71" s="26"/>
      <c r="F71" s="50"/>
      <c r="G71" s="50"/>
      <c r="H71" s="46">
        <v>47635</v>
      </c>
      <c r="I71" s="3">
        <v>3732.81</v>
      </c>
      <c r="J71" s="33">
        <f t="shared" si="4"/>
        <v>44793.72</v>
      </c>
      <c r="K71" s="6">
        <f t="shared" si="5"/>
        <v>35.950016051364365</v>
      </c>
      <c r="L71" s="8"/>
      <c r="M71" s="7"/>
      <c r="N71" s="5"/>
    </row>
    <row r="72" spans="1:14" x14ac:dyDescent="0.25">
      <c r="A72" s="40"/>
      <c r="B72" s="53"/>
      <c r="C72" s="54"/>
      <c r="D72" s="75"/>
      <c r="E72" s="26"/>
      <c r="F72" s="50"/>
      <c r="G72" s="50"/>
      <c r="H72" s="46"/>
      <c r="I72" s="3"/>
      <c r="J72" s="33"/>
      <c r="K72" s="6"/>
      <c r="L72" s="8"/>
      <c r="M72" s="7"/>
      <c r="N72" s="5"/>
    </row>
    <row r="73" spans="1:14" x14ac:dyDescent="0.25">
      <c r="A73" s="64"/>
      <c r="C73" s="59" t="s">
        <v>49</v>
      </c>
      <c r="D73" s="61">
        <v>2025</v>
      </c>
      <c r="E73" s="26"/>
      <c r="F73" s="50"/>
      <c r="G73" s="50"/>
      <c r="H73" s="49"/>
      <c r="I73" s="66"/>
      <c r="J73" s="63"/>
      <c r="K73" s="6"/>
      <c r="L73" s="3"/>
      <c r="M73" s="35"/>
      <c r="N73" s="65"/>
    </row>
    <row r="74" spans="1:14" x14ac:dyDescent="0.25">
      <c r="A74" s="64"/>
      <c r="C74" s="59" t="s">
        <v>50</v>
      </c>
      <c r="D74" s="61" t="s">
        <v>59</v>
      </c>
      <c r="E74" s="26"/>
      <c r="F74" s="50"/>
      <c r="G74" s="50"/>
      <c r="H74" s="49"/>
      <c r="I74" s="66"/>
      <c r="J74" s="63"/>
      <c r="K74" s="6"/>
      <c r="L74" s="3"/>
      <c r="M74" s="35"/>
      <c r="N74" s="65"/>
    </row>
    <row r="75" spans="1:14" x14ac:dyDescent="0.25">
      <c r="A75" s="64"/>
      <c r="C75" s="59" t="s">
        <v>52</v>
      </c>
      <c r="D75" s="61" t="s">
        <v>61</v>
      </c>
      <c r="E75" s="26"/>
      <c r="F75" s="50"/>
      <c r="G75" s="50"/>
      <c r="H75" s="49"/>
      <c r="I75" s="66"/>
      <c r="J75" s="63"/>
      <c r="K75" s="6"/>
      <c r="L75" s="3"/>
      <c r="M75" s="35"/>
      <c r="N75" s="65"/>
    </row>
    <row r="76" spans="1:14" x14ac:dyDescent="0.25">
      <c r="A76" s="64"/>
      <c r="C76" s="10" t="s">
        <v>17</v>
      </c>
      <c r="D76" s="62">
        <v>0.95</v>
      </c>
      <c r="E76" s="26"/>
      <c r="F76" s="50"/>
      <c r="G76" s="50"/>
      <c r="H76" s="49"/>
      <c r="I76" s="3"/>
      <c r="J76" s="9"/>
      <c r="K76" s="6"/>
      <c r="L76" s="3"/>
      <c r="M76" s="35"/>
      <c r="N76" s="65"/>
    </row>
    <row r="77" spans="1:14" x14ac:dyDescent="0.25">
      <c r="A77" s="64"/>
      <c r="C77" s="10" t="s">
        <v>46</v>
      </c>
      <c r="D77" s="61" t="s">
        <v>60</v>
      </c>
      <c r="E77" s="26"/>
      <c r="F77" s="50"/>
      <c r="G77" s="50"/>
      <c r="H77" s="49"/>
      <c r="I77" s="3"/>
      <c r="J77" s="9"/>
      <c r="K77" s="6"/>
      <c r="L77" s="3"/>
      <c r="M77" s="35"/>
      <c r="N77" s="65"/>
    </row>
    <row r="78" spans="1:14" x14ac:dyDescent="0.25">
      <c r="A78" s="64"/>
      <c r="C78" s="10" t="s">
        <v>48</v>
      </c>
      <c r="D78" s="61" t="s">
        <v>40</v>
      </c>
      <c r="E78" s="26"/>
      <c r="F78" s="50"/>
      <c r="G78" s="50"/>
      <c r="H78" s="50"/>
      <c r="I78" s="3"/>
      <c r="J78" s="9"/>
      <c r="K78" s="9"/>
      <c r="L78" s="3"/>
      <c r="M78" s="35"/>
      <c r="N78" s="65"/>
    </row>
    <row r="79" spans="1:14" x14ac:dyDescent="0.25">
      <c r="A79" s="1"/>
      <c r="B79" s="8"/>
      <c r="C79" s="10"/>
      <c r="D79" s="61"/>
      <c r="E79" s="26"/>
      <c r="F79" s="50"/>
      <c r="G79" s="50"/>
      <c r="H79" s="50"/>
      <c r="I79" s="3"/>
      <c r="J79" s="9"/>
      <c r="K79" s="9"/>
      <c r="L79" s="3"/>
      <c r="M79" s="35"/>
      <c r="N79" s="8"/>
    </row>
    <row r="80" spans="1:14" s="13" customFormat="1" x14ac:dyDescent="0.25">
      <c r="A80" s="28"/>
      <c r="B80" s="27"/>
      <c r="C80" s="29"/>
      <c r="D80" s="76"/>
      <c r="E80" s="30"/>
      <c r="F80" s="51"/>
      <c r="G80" s="51"/>
      <c r="H80" s="51"/>
      <c r="I80" s="31"/>
      <c r="J80" s="32"/>
      <c r="K80" s="32"/>
      <c r="L80" s="31"/>
      <c r="M80" s="36"/>
      <c r="N80" s="27"/>
    </row>
    <row r="81" spans="1:14" x14ac:dyDescent="0.25">
      <c r="A81" s="1" t="s">
        <v>30</v>
      </c>
      <c r="B81" s="53">
        <v>1300</v>
      </c>
      <c r="C81" s="54"/>
      <c r="D81" s="75"/>
      <c r="E81" s="26">
        <v>7259</v>
      </c>
      <c r="F81" s="50">
        <v>45809</v>
      </c>
      <c r="G81" s="50">
        <v>48638</v>
      </c>
      <c r="H81" s="50" t="s">
        <v>12</v>
      </c>
      <c r="I81" s="3">
        <v>19962.25</v>
      </c>
      <c r="J81" s="33">
        <f>I81*12</f>
        <v>239547</v>
      </c>
      <c r="K81" s="6">
        <f t="shared" ref="K81:K88" si="6">J81/$E$81</f>
        <v>33</v>
      </c>
      <c r="L81" s="8" t="s">
        <v>16</v>
      </c>
      <c r="M81" s="14">
        <v>3.2551569506726455E-2</v>
      </c>
      <c r="N81" s="5"/>
    </row>
    <row r="82" spans="1:14" x14ac:dyDescent="0.25">
      <c r="A82" s="40"/>
      <c r="B82" s="53"/>
      <c r="C82" s="54"/>
      <c r="D82" s="75"/>
      <c r="E82" s="26"/>
      <c r="F82" s="50"/>
      <c r="G82" s="50"/>
      <c r="H82" s="46">
        <v>46174</v>
      </c>
      <c r="I82" s="3">
        <v>20561.12</v>
      </c>
      <c r="J82" s="33">
        <f t="shared" ref="J82:J84" si="7">I82*12</f>
        <v>246733.44</v>
      </c>
      <c r="K82" s="6">
        <f t="shared" si="6"/>
        <v>33.990004132800664</v>
      </c>
      <c r="L82" s="8"/>
      <c r="M82" s="7"/>
      <c r="N82" s="5"/>
    </row>
    <row r="83" spans="1:14" x14ac:dyDescent="0.25">
      <c r="A83" s="64"/>
      <c r="C83" s="10"/>
      <c r="D83" s="61"/>
      <c r="E83" s="26"/>
      <c r="F83" s="50"/>
      <c r="G83" s="50"/>
      <c r="H83" s="50">
        <v>46539</v>
      </c>
      <c r="I83" s="3">
        <v>21178.13</v>
      </c>
      <c r="J83" s="33">
        <f t="shared" si="7"/>
        <v>254137.56</v>
      </c>
      <c r="K83" s="6">
        <f t="shared" si="6"/>
        <v>35.009995867199336</v>
      </c>
      <c r="L83" s="3"/>
      <c r="M83" s="35"/>
      <c r="N83" s="8"/>
    </row>
    <row r="84" spans="1:14" x14ac:dyDescent="0.25">
      <c r="A84" s="40"/>
      <c r="C84" s="10"/>
      <c r="D84" s="61"/>
      <c r="E84" s="26"/>
      <c r="F84" s="50"/>
      <c r="G84" s="50"/>
      <c r="H84" s="46">
        <v>46905</v>
      </c>
      <c r="I84" s="3">
        <v>21813.3</v>
      </c>
      <c r="J84" s="33">
        <f t="shared" si="7"/>
        <v>261759.59999999998</v>
      </c>
      <c r="K84" s="6">
        <f t="shared" si="6"/>
        <v>36.060008265601319</v>
      </c>
      <c r="L84" s="3"/>
      <c r="M84" s="35"/>
      <c r="N84" s="8"/>
    </row>
    <row r="85" spans="1:14" x14ac:dyDescent="0.25">
      <c r="A85" s="40"/>
      <c r="C85" s="10"/>
      <c r="D85" s="61"/>
      <c r="E85" s="26"/>
      <c r="F85" s="50"/>
      <c r="G85" s="50"/>
      <c r="H85" s="50">
        <v>47270</v>
      </c>
      <c r="I85" s="3">
        <v>22466.61</v>
      </c>
      <c r="J85" s="33">
        <f>I85*12</f>
        <v>269599.32</v>
      </c>
      <c r="K85" s="6">
        <f t="shared" si="6"/>
        <v>37.140008265601324</v>
      </c>
      <c r="L85" s="3"/>
      <c r="M85" s="35"/>
      <c r="N85" s="8"/>
    </row>
    <row r="86" spans="1:14" x14ac:dyDescent="0.25">
      <c r="A86" s="40"/>
      <c r="C86" s="10"/>
      <c r="D86" s="61"/>
      <c r="E86" s="26"/>
      <c r="F86" s="50"/>
      <c r="G86" s="50"/>
      <c r="H86" s="46">
        <v>47635</v>
      </c>
      <c r="I86" s="3">
        <v>23138.06</v>
      </c>
      <c r="J86" s="33">
        <f>I86*12</f>
        <v>277656.72000000003</v>
      </c>
      <c r="K86" s="6">
        <f t="shared" si="6"/>
        <v>38.249995867199345</v>
      </c>
      <c r="L86" s="3"/>
      <c r="M86" s="35"/>
      <c r="N86" s="8"/>
    </row>
    <row r="87" spans="1:14" x14ac:dyDescent="0.25">
      <c r="A87" s="40"/>
      <c r="C87" s="10"/>
      <c r="D87" s="61"/>
      <c r="E87" s="26"/>
      <c r="F87" s="50"/>
      <c r="G87" s="50"/>
      <c r="H87" s="50">
        <v>48000</v>
      </c>
      <c r="I87" s="3">
        <v>23833.72</v>
      </c>
      <c r="J87" s="33">
        <f>I87*12</f>
        <v>286004.64</v>
      </c>
      <c r="K87" s="6">
        <f t="shared" si="6"/>
        <v>39.400005510400881</v>
      </c>
      <c r="L87" s="3"/>
      <c r="M87" s="35"/>
      <c r="N87" s="8"/>
    </row>
    <row r="88" spans="1:14" x14ac:dyDescent="0.25">
      <c r="A88" s="40"/>
      <c r="C88" s="10"/>
      <c r="D88" s="61"/>
      <c r="E88" s="26"/>
      <c r="F88" s="50"/>
      <c r="G88" s="50"/>
      <c r="H88" s="46">
        <v>48366</v>
      </c>
      <c r="I88" s="3">
        <v>24547.52</v>
      </c>
      <c r="J88" s="33">
        <f>I88*12</f>
        <v>294570.23999999999</v>
      </c>
      <c r="K88" s="6">
        <f t="shared" si="6"/>
        <v>40.580002755200439</v>
      </c>
      <c r="L88" s="3"/>
      <c r="M88" s="35"/>
      <c r="N88" s="8"/>
    </row>
    <row r="89" spans="1:14" x14ac:dyDescent="0.25">
      <c r="A89" s="40"/>
      <c r="C89" s="10" t="s">
        <v>49</v>
      </c>
      <c r="D89" s="61">
        <v>2025</v>
      </c>
      <c r="E89" s="26"/>
      <c r="F89" s="50"/>
      <c r="G89" s="50"/>
      <c r="L89" s="3"/>
      <c r="M89" s="35"/>
      <c r="N89" s="8"/>
    </row>
    <row r="90" spans="1:14" x14ac:dyDescent="0.25">
      <c r="A90" s="40"/>
      <c r="C90" s="10" t="s">
        <v>50</v>
      </c>
      <c r="D90" s="61" t="s">
        <v>26</v>
      </c>
      <c r="E90" s="26"/>
      <c r="F90" s="50"/>
      <c r="G90" s="50"/>
      <c r="L90" s="3"/>
      <c r="M90" s="35"/>
      <c r="N90" s="8"/>
    </row>
    <row r="91" spans="1:14" x14ac:dyDescent="0.25">
      <c r="A91" s="40"/>
      <c r="C91" s="10" t="s">
        <v>17</v>
      </c>
      <c r="D91" s="62">
        <v>0.95</v>
      </c>
      <c r="E91" s="26"/>
      <c r="F91" s="50"/>
      <c r="G91" s="50"/>
      <c r="L91" s="3"/>
      <c r="M91" s="35"/>
      <c r="N91" s="8"/>
    </row>
    <row r="92" spans="1:14" x14ac:dyDescent="0.25">
      <c r="A92" s="40"/>
      <c r="C92" s="10" t="s">
        <v>46</v>
      </c>
      <c r="D92" s="61" t="s">
        <v>43</v>
      </c>
      <c r="E92" s="26"/>
      <c r="F92" s="50"/>
      <c r="G92" s="50"/>
      <c r="L92" s="3"/>
      <c r="M92" s="35"/>
      <c r="N92" s="8"/>
    </row>
    <row r="93" spans="1:14" x14ac:dyDescent="0.25">
      <c r="A93" s="40"/>
      <c r="C93" s="10" t="s">
        <v>48</v>
      </c>
      <c r="D93" s="61" t="s">
        <v>44</v>
      </c>
      <c r="E93" s="26"/>
      <c r="F93" s="50"/>
      <c r="G93" s="50"/>
      <c r="L93" s="3"/>
      <c r="M93" s="35"/>
      <c r="N93" s="8"/>
    </row>
    <row r="94" spans="1:14" x14ac:dyDescent="0.25">
      <c r="A94" s="40"/>
      <c r="C94" s="10" t="s">
        <v>31</v>
      </c>
      <c r="D94" s="61" t="s">
        <v>33</v>
      </c>
      <c r="E94" s="26"/>
      <c r="F94" s="50"/>
      <c r="G94" s="50"/>
      <c r="H94" s="50"/>
      <c r="I94" s="3"/>
      <c r="J94" s="9"/>
      <c r="K94" s="9"/>
      <c r="L94" s="3"/>
      <c r="M94" s="35"/>
      <c r="N94" s="8"/>
    </row>
    <row r="95" spans="1:14" x14ac:dyDescent="0.25">
      <c r="A95" s="1"/>
      <c r="B95" s="8"/>
      <c r="C95" s="10" t="s">
        <v>32</v>
      </c>
      <c r="D95" s="61" t="s">
        <v>35</v>
      </c>
      <c r="E95" s="26"/>
      <c r="F95" s="50"/>
      <c r="G95" s="50"/>
      <c r="H95" s="50"/>
      <c r="I95" s="60"/>
      <c r="J95" s="9"/>
      <c r="K95" s="9"/>
      <c r="L95" s="3"/>
      <c r="M95" s="35"/>
      <c r="N95" s="8"/>
    </row>
    <row r="96" spans="1:14" s="13" customFormat="1" x14ac:dyDescent="0.25">
      <c r="A96" s="28"/>
      <c r="B96" s="27"/>
      <c r="C96" s="29"/>
      <c r="D96" s="76"/>
      <c r="E96" s="30"/>
      <c r="F96" s="51"/>
      <c r="G96" s="51"/>
      <c r="H96" s="51"/>
      <c r="I96" s="31"/>
      <c r="J96" s="32"/>
      <c r="K96" s="32"/>
      <c r="L96" s="31"/>
      <c r="M96" s="36"/>
      <c r="N96" s="27"/>
    </row>
    <row r="97" spans="3:13" x14ac:dyDescent="0.25">
      <c r="D97" s="77"/>
      <c r="J97" s="12"/>
      <c r="K97" s="41"/>
      <c r="M97" s="37"/>
    </row>
    <row r="98" spans="3:13" x14ac:dyDescent="0.25">
      <c r="D98" s="77"/>
      <c r="M98" s="37"/>
    </row>
    <row r="99" spans="3:13" x14ac:dyDescent="0.25">
      <c r="D99" s="77"/>
      <c r="J99" s="42"/>
      <c r="K99" s="43"/>
      <c r="M99" s="37"/>
    </row>
    <row r="100" spans="3:13" x14ac:dyDescent="0.25">
      <c r="D100" s="77"/>
      <c r="J100" s="38"/>
      <c r="K100" s="44"/>
      <c r="M100" s="37"/>
    </row>
    <row r="101" spans="3:13" x14ac:dyDescent="0.25">
      <c r="D101" s="77"/>
      <c r="J101" s="38"/>
      <c r="M101" s="37"/>
    </row>
    <row r="102" spans="3:13" x14ac:dyDescent="0.25">
      <c r="D102" s="77"/>
      <c r="E102" s="5"/>
      <c r="M102" s="37"/>
    </row>
    <row r="103" spans="3:13" x14ac:dyDescent="0.25">
      <c r="D103" s="77"/>
      <c r="M103" s="37"/>
    </row>
    <row r="104" spans="3:13" x14ac:dyDescent="0.25">
      <c r="M104" s="37"/>
    </row>
    <row r="105" spans="3:13" x14ac:dyDescent="0.25">
      <c r="C105" s="39"/>
      <c r="M105" s="37"/>
    </row>
    <row r="106" spans="3:13" x14ac:dyDescent="0.25">
      <c r="C106" s="39"/>
      <c r="M106" s="37"/>
    </row>
    <row r="107" spans="3:13" x14ac:dyDescent="0.25">
      <c r="M107" s="37"/>
    </row>
    <row r="108" spans="3:13" x14ac:dyDescent="0.25">
      <c r="M108" s="37"/>
    </row>
    <row r="109" spans="3:13" x14ac:dyDescent="0.25">
      <c r="M109" s="37"/>
    </row>
    <row r="110" spans="3:13" x14ac:dyDescent="0.25">
      <c r="M110" s="37"/>
    </row>
    <row r="111" spans="3:13" x14ac:dyDescent="0.25">
      <c r="M111" s="37"/>
    </row>
    <row r="112" spans="3:13" x14ac:dyDescent="0.25">
      <c r="M112" s="37"/>
    </row>
    <row r="113" spans="13:13" x14ac:dyDescent="0.25">
      <c r="M113" s="37"/>
    </row>
    <row r="114" spans="13:13" x14ac:dyDescent="0.25">
      <c r="M114" s="37"/>
    </row>
    <row r="115" spans="13:13" x14ac:dyDescent="0.25">
      <c r="M115" s="37"/>
    </row>
    <row r="116" spans="13:13" x14ac:dyDescent="0.25">
      <c r="M116" s="37"/>
    </row>
    <row r="117" spans="13:13" x14ac:dyDescent="0.25">
      <c r="M117" s="37"/>
    </row>
    <row r="118" spans="13:13" x14ac:dyDescent="0.25">
      <c r="M118" s="37"/>
    </row>
    <row r="119" spans="13:13" x14ac:dyDescent="0.25">
      <c r="M119" s="37"/>
    </row>
    <row r="120" spans="13:13" x14ac:dyDescent="0.25">
      <c r="M120" s="37"/>
    </row>
    <row r="121" spans="13:13" x14ac:dyDescent="0.25">
      <c r="M121" s="37"/>
    </row>
    <row r="122" spans="13:13" x14ac:dyDescent="0.25">
      <c r="M122" s="37"/>
    </row>
    <row r="123" spans="13:13" x14ac:dyDescent="0.25">
      <c r="M123" s="37"/>
    </row>
    <row r="124" spans="13:13" x14ac:dyDescent="0.25">
      <c r="M124" s="37"/>
    </row>
    <row r="125" spans="13:13" x14ac:dyDescent="0.25">
      <c r="M125" s="37"/>
    </row>
    <row r="126" spans="13:13" x14ac:dyDescent="0.25">
      <c r="M126" s="37"/>
    </row>
    <row r="127" spans="13:13" x14ac:dyDescent="0.25">
      <c r="M127" s="37"/>
    </row>
    <row r="128" spans="13:13" x14ac:dyDescent="0.25">
      <c r="M128" s="37"/>
    </row>
    <row r="129" spans="13:13" x14ac:dyDescent="0.25">
      <c r="M129" s="37"/>
    </row>
    <row r="130" spans="13:13" x14ac:dyDescent="0.25">
      <c r="M130" s="37"/>
    </row>
    <row r="131" spans="13:13" x14ac:dyDescent="0.25">
      <c r="M131" s="37"/>
    </row>
    <row r="132" spans="13:13" x14ac:dyDescent="0.25">
      <c r="M132" s="37"/>
    </row>
    <row r="133" spans="13:13" x14ac:dyDescent="0.25">
      <c r="M133" s="37"/>
    </row>
    <row r="134" spans="13:13" x14ac:dyDescent="0.25">
      <c r="M134" s="37"/>
    </row>
    <row r="135" spans="13:13" x14ac:dyDescent="0.25">
      <c r="M135" s="37"/>
    </row>
  </sheetData>
  <mergeCells count="1">
    <mergeCell ref="F1:G1"/>
  </mergeCells>
  <pageMargins left="0.7" right="0.7" top="0.75" bottom="0.75" header="0.3" footer="0.3"/>
  <pageSetup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Rent Roll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Nicholls, Jakob</dc:creator>
  <cp:lastModifiedBy>Childress, James</cp:lastModifiedBy>
  <dcterms:created xsi:type="dcterms:W3CDTF">2019-03-25T18:26:33Z</dcterms:created>
  <dcterms:modified xsi:type="dcterms:W3CDTF">2025-10-16T00:33:53Z</dcterms:modified>
</cp:coreProperties>
</file>